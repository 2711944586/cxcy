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假设" sheetId="2" state="visible" r:id="rId2"/>
    <sheet xmlns:r="http://schemas.openxmlformats.org/officeDocument/2006/relationships" name="收入" sheetId="3" state="visible" r:id="rId3"/>
    <sheet xmlns:r="http://schemas.openxmlformats.org/officeDocument/2006/relationships" name="成本费用" sheetId="4" state="visible" r:id="rId4"/>
    <sheet xmlns:r="http://schemas.openxmlformats.org/officeDocument/2006/relationships" name="现金流" sheetId="5" state="visible" r:id="rId5"/>
    <sheet xmlns:r="http://schemas.openxmlformats.org/officeDocument/2006/relationships" name="情景" sheetId="6" state="visible" r:id="rId6"/>
    <sheet xmlns:r="http://schemas.openxmlformats.org/officeDocument/2006/relationships" name="投资评价" sheetId="7" state="visible" r:id="rId7"/>
    <sheet xmlns:r="http://schemas.openxmlformats.org/officeDocument/2006/relationships" name="敏感性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资料来源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0.0%;[Red](0.0%);-"/>
    <numFmt numFmtId="165" formatCode="#,##0.0;[Red](#,##0.0);-"/>
    <numFmt numFmtId="166" formatCode="#,##0;[Red](#,##0);-"/>
  </numFmts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  <color rgb="00000000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23C4A"/>
      </patternFill>
    </fill>
    <fill>
      <patternFill patternType="solid">
        <fgColor rgb="00155E75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6F1EE"/>
      </patternFill>
    </fill>
  </fills>
  <borders count="2">
    <border>
      <left/>
      <right/>
      <top/>
      <bottom/>
      <diagonal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3" fillId="4" borderId="1" applyAlignment="1" pivotButton="0" quotePrefix="0" xfId="0">
      <alignment vertical="center" wrapText="1"/>
    </xf>
    <xf numFmtId="166" fontId="3" fillId="4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165" fontId="6" fillId="6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165" fontId="7" fillId="6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6" fillId="6" borderId="0" pivotButton="0" quotePrefix="0" xfId="0"/>
    <xf numFmtId="164" fontId="2" fillId="3" borderId="1" applyAlignment="1" pivotButton="0" quotePrefix="0" xfId="0">
      <alignment vertical="center" wrapText="1"/>
    </xf>
    <xf numFmtId="165" fontId="5" fillId="5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收入、毛利与 EBITDA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'Dashboard'!$A$4:$A$8</f>
            </numRef>
          </cat>
          <val>
            <numRef>
              <f>'Dashboard'!$B$4:$B$8</f>
            </numRef>
          </val>
        </ser>
        <ser>
          <idx val="1"/>
          <order val="1"/>
          <tx>
            <strRef>
              <f>'Dashboard'!C3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'Dashboard'!$A$4:$A$8</f>
            </numRef>
          </cat>
          <val>
            <numRef>
              <f>'Dashboard'!$C$4:$C$8</f>
            </numRef>
          </val>
        </ser>
        <ser>
          <idx val="2"/>
          <order val="2"/>
          <tx>
            <strRef>
              <f>'Dashboard'!D3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'Dashboard'!$A$4:$A$8</f>
            </numRef>
          </cat>
          <val>
            <numRef>
              <f>'Dashboard'!$D$4:$D$8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经营现金流与期末现金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'Dashboard'!$A$4:$A$8</f>
            </numRef>
          </cat>
          <val>
            <numRef>
              <f>'Dashboard'!$E$4:$E$8</f>
            </numRef>
          </val>
        </ser>
        <ser>
          <idx val="1"/>
          <order val="1"/>
          <tx>
            <strRef>
              <f>'Dashboard'!F3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'Dashboard'!$A$4:$A$8</f>
            </numRef>
          </cat>
          <val>
            <numRef>
              <f>'Dashboard'!$F$4:$F$8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SkyGuard</author>
  </authors>
  <commentList>
    <comment ref="C7" authorId="0" shapeId="0">
      <text>
        <t>输入口径：经营假设</t>
      </text>
    </comment>
    <comment ref="C8" authorId="0" shapeId="0">
      <text>
        <t>输入口径：经营假设</t>
      </text>
    </comment>
    <comment ref="C9" authorId="0" shapeId="0">
      <text>
        <t>输入口径：经营假设</t>
      </text>
    </comment>
    <comment ref="C10" authorId="0" shapeId="0">
      <text>
        <t>输入口径：经营假设</t>
      </text>
    </comment>
    <comment ref="C11" authorId="0" shapeId="0">
      <text>
        <t>输入口径：经营假设</t>
      </text>
    </comment>
    <comment ref="C12" authorId="0" shapeId="0">
      <text>
        <t>输入口径：经营假设</t>
      </text>
    </comment>
    <comment ref="C13" authorId="0" shapeId="0">
      <text>
        <t>输入口径：经营假设</t>
      </text>
    </comment>
    <comment ref="C14" authorId="0" shapeId="0">
      <text>
        <t>输入口径：融资假设</t>
      </text>
    </comment>
  </commentList>
</comments>
</file>

<file path=xl/comments/comment2.xml><?xml version="1.0" encoding="utf-8"?>
<comments xmlns="http://schemas.openxmlformats.org/spreadsheetml/2006/main">
  <authors>
    <author>SkyGuard</author>
  </authors>
  <commentList>
    <comment ref="B4" authorId="0" shapeId="0">
      <text>
        <t>输入口径：Lite SaaS年度客户数，蓝色单元格可调整。</t>
      </text>
    </comment>
    <comment ref="C4" authorId="0" shapeId="0">
      <text>
        <t>输入口径：Lite SaaS年度客户数，蓝色单元格可调整。</t>
      </text>
    </comment>
    <comment ref="D4" authorId="0" shapeId="0">
      <text>
        <t>输入口径：Lite SaaS年度客户数，蓝色单元格可调整。</t>
      </text>
    </comment>
    <comment ref="E4" authorId="0" shapeId="0">
      <text>
        <t>输入口径：Lite SaaS年度客户数，蓝色单元格可调整。</t>
      </text>
    </comment>
    <comment ref="F4" authorId="0" shapeId="0">
      <text>
        <t>输入口径：Lite SaaS年度客户数，蓝色单元格可调整。</t>
      </text>
    </comment>
    <comment ref="B5" authorId="0" shapeId="0">
      <text>
        <t>输入口径：万元/年/客户</t>
      </text>
    </comment>
    <comment ref="C5" authorId="0" shapeId="0">
      <text>
        <t>输入口径：万元/年/客户</t>
      </text>
    </comment>
    <comment ref="D5" authorId="0" shapeId="0">
      <text>
        <t>输入口径：万元/年/客户</t>
      </text>
    </comment>
    <comment ref="E5" authorId="0" shapeId="0">
      <text>
        <t>输入口径：万元/年/客户</t>
      </text>
    </comment>
    <comment ref="F5" authorId="0" shapeId="0">
      <text>
        <t>输入口径：万元/年/客户</t>
      </text>
    </comment>
    <comment ref="B7" authorId="0" shapeId="0">
      <text>
        <t>输入口径：Pro部署年度项目数，蓝色单元格可调整。</t>
      </text>
    </comment>
    <comment ref="C7" authorId="0" shapeId="0">
      <text>
        <t>输入口径：Pro部署年度项目数，蓝色单元格可调整。</t>
      </text>
    </comment>
    <comment ref="D7" authorId="0" shapeId="0">
      <text>
        <t>输入口径：Pro部署年度项目数，蓝色单元格可调整。</t>
      </text>
    </comment>
    <comment ref="E7" authorId="0" shapeId="0">
      <text>
        <t>输入口径：Pro部署年度项目数，蓝色单元格可调整。</t>
      </text>
    </comment>
    <comment ref="F7" authorId="0" shapeId="0">
      <text>
        <t>输入口径：Pro部署年度项目数，蓝色单元格可调整。</t>
      </text>
    </comment>
    <comment ref="B8" authorId="0" shapeId="0">
      <text>
        <t>输入口径：万元/项目</t>
      </text>
    </comment>
    <comment ref="C8" authorId="0" shapeId="0">
      <text>
        <t>输入口径：万元/项目</t>
      </text>
    </comment>
    <comment ref="D8" authorId="0" shapeId="0">
      <text>
        <t>输入口径：万元/项目</t>
      </text>
    </comment>
    <comment ref="E8" authorId="0" shapeId="0">
      <text>
        <t>输入口径：万元/项目</t>
      </text>
    </comment>
    <comment ref="F8" authorId="0" shapeId="0">
      <text>
        <t>输入口径：万元/项目</t>
      </text>
    </comment>
    <comment ref="B10" authorId="0" shapeId="0">
      <text>
        <t>输入口径：Gov试点年度项目数，蓝色单元格可调整。</t>
      </text>
    </comment>
    <comment ref="C10" authorId="0" shapeId="0">
      <text>
        <t>输入口径：Gov试点年度项目数，蓝色单元格可调整。</t>
      </text>
    </comment>
    <comment ref="D10" authorId="0" shapeId="0">
      <text>
        <t>输入口径：Gov试点年度项目数，蓝色单元格可调整。</t>
      </text>
    </comment>
    <comment ref="E10" authorId="0" shapeId="0">
      <text>
        <t>输入口径：Gov试点年度项目数，蓝色单元格可调整。</t>
      </text>
    </comment>
    <comment ref="F10" authorId="0" shapeId="0">
      <text>
        <t>输入口径：Gov试点年度项目数，蓝色单元格可调整。</t>
      </text>
    </comment>
    <comment ref="B11" authorId="0" shapeId="0">
      <text>
        <t>输入口径：万元/项目</t>
      </text>
    </comment>
    <comment ref="C11" authorId="0" shapeId="0">
      <text>
        <t>输入口径：万元/项目</t>
      </text>
    </comment>
    <comment ref="D11" authorId="0" shapeId="0">
      <text>
        <t>输入口径：万元/项目</t>
      </text>
    </comment>
    <comment ref="E11" authorId="0" shapeId="0">
      <text>
        <t>输入口径：万元/项目</t>
      </text>
    </comment>
    <comment ref="F11" authorId="0" shapeId="0">
      <text>
        <t>输入口径：万元/项目</t>
      </text>
    </comment>
    <comment ref="B13" authorId="0" shapeId="0">
      <text>
        <t>输入口径：活动保障年度场次，蓝色单元格可调整。</t>
      </text>
    </comment>
    <comment ref="C13" authorId="0" shapeId="0">
      <text>
        <t>输入口径：活动保障年度场次，蓝色单元格可调整。</t>
      </text>
    </comment>
    <comment ref="D13" authorId="0" shapeId="0">
      <text>
        <t>输入口径：活动保障年度场次，蓝色单元格可调整。</t>
      </text>
    </comment>
    <comment ref="E13" authorId="0" shapeId="0">
      <text>
        <t>输入口径：活动保障年度场次，蓝色单元格可调整。</t>
      </text>
    </comment>
    <comment ref="F13" authorId="0" shapeId="0">
      <text>
        <t>输入口径：活动保障年度场次，蓝色单元格可调整。</t>
      </text>
    </comment>
    <comment ref="B14" authorId="0" shapeId="0">
      <text>
        <t>输入口径：万元/次</t>
      </text>
    </comment>
    <comment ref="C14" authorId="0" shapeId="0">
      <text>
        <t>输入口径：万元/次</t>
      </text>
    </comment>
    <comment ref="D14" authorId="0" shapeId="0">
      <text>
        <t>输入口径：万元/次</t>
      </text>
    </comment>
    <comment ref="E14" authorId="0" shapeId="0">
      <text>
        <t>输入口径：万元/次</t>
      </text>
    </comment>
    <comment ref="F14" authorId="0" shapeId="0">
      <text>
        <t>输入口径：万元/次</t>
      </text>
    </comment>
    <comment ref="B16" authorId="0" shapeId="0">
      <text>
        <t>输入口径：航线评估年度条数，蓝色单元格可调整。</t>
      </text>
    </comment>
    <comment ref="C16" authorId="0" shapeId="0">
      <text>
        <t>输入口径：航线评估年度条数，蓝色单元格可调整。</t>
      </text>
    </comment>
    <comment ref="D16" authorId="0" shapeId="0">
      <text>
        <t>输入口径：航线评估年度条数，蓝色单元格可调整。</t>
      </text>
    </comment>
    <comment ref="E16" authorId="0" shapeId="0">
      <text>
        <t>输入口径：航线评估年度条数，蓝色单元格可调整。</t>
      </text>
    </comment>
    <comment ref="F16" authorId="0" shapeId="0">
      <text>
        <t>输入口径：航线评估年度条数，蓝色单元格可调整。</t>
      </text>
    </comment>
    <comment ref="B17" authorId="0" shapeId="0">
      <text>
        <t>输入口径：万元/条</t>
      </text>
    </comment>
    <comment ref="C17" authorId="0" shapeId="0">
      <text>
        <t>输入口径：万元/条</t>
      </text>
    </comment>
    <comment ref="D17" authorId="0" shapeId="0">
      <text>
        <t>输入口径：万元/条</t>
      </text>
    </comment>
    <comment ref="E17" authorId="0" shapeId="0">
      <text>
        <t>输入口径：万元/条</t>
      </text>
    </comment>
    <comment ref="F17" authorId="0" shapeId="0">
      <text>
        <t>输入口径：万元/条</t>
      </text>
    </comment>
    <comment ref="B19" authorId="0" shapeId="0">
      <text>
        <t>输入口径：数据报告年度份数，蓝色单元格可调整。</t>
      </text>
    </comment>
    <comment ref="C19" authorId="0" shapeId="0">
      <text>
        <t>输入口径：数据报告年度份数，蓝色单元格可调整。</t>
      </text>
    </comment>
    <comment ref="D19" authorId="0" shapeId="0">
      <text>
        <t>输入口径：数据报告年度份数，蓝色单元格可调整。</t>
      </text>
    </comment>
    <comment ref="E19" authorId="0" shapeId="0">
      <text>
        <t>输入口径：数据报告年度份数，蓝色单元格可调整。</t>
      </text>
    </comment>
    <comment ref="F19" authorId="0" shapeId="0">
      <text>
        <t>输入口径：数据报告年度份数，蓝色单元格可调整。</t>
      </text>
    </comment>
    <comment ref="B20" authorId="0" shapeId="0">
      <text>
        <t>输入口径：万元/份</t>
      </text>
    </comment>
    <comment ref="C20" authorId="0" shapeId="0">
      <text>
        <t>输入口径：万元/份</t>
      </text>
    </comment>
    <comment ref="D20" authorId="0" shapeId="0">
      <text>
        <t>输入口径：万元/份</t>
      </text>
    </comment>
    <comment ref="E20" authorId="0" shapeId="0">
      <text>
        <t>输入口径：万元/份</t>
      </text>
    </comment>
    <comment ref="F20" authorId="0" shapeId="0">
      <text>
        <t>输入口径：万元/份</t>
      </text>
    </comment>
    <comment ref="B22" authorId="0" shapeId="0">
      <text>
        <t>输入口径：运维服务年度客户数，蓝色单元格可调整。</t>
      </text>
    </comment>
    <comment ref="C22" authorId="0" shapeId="0">
      <text>
        <t>输入口径：运维服务年度客户数，蓝色单元格可调整。</t>
      </text>
    </comment>
    <comment ref="D22" authorId="0" shapeId="0">
      <text>
        <t>输入口径：运维服务年度客户数，蓝色单元格可调整。</t>
      </text>
    </comment>
    <comment ref="E22" authorId="0" shapeId="0">
      <text>
        <t>输入口径：运维服务年度客户数，蓝色单元格可调整。</t>
      </text>
    </comment>
    <comment ref="F22" authorId="0" shapeId="0">
      <text>
        <t>输入口径：运维服务年度客户数，蓝色单元格可调整。</t>
      </text>
    </comment>
    <comment ref="B23" authorId="0" shapeId="0">
      <text>
        <t>输入口径：万元/年/客户</t>
      </text>
    </comment>
    <comment ref="C23" authorId="0" shapeId="0">
      <text>
        <t>输入口径：万元/年/客户</t>
      </text>
    </comment>
    <comment ref="D23" authorId="0" shapeId="0">
      <text>
        <t>输入口径：万元/年/客户</t>
      </text>
    </comment>
    <comment ref="E23" authorId="0" shapeId="0">
      <text>
        <t>输入口径：万元/年/客户</t>
      </text>
    </comment>
    <comment ref="F23" authorId="0" shapeId="0">
      <text>
        <t>输入口径：万元/年/客户</t>
      </text>
    </comment>
    <comment ref="B25" authorId="0" shapeId="0">
      <text>
        <t>输入口径：设备接入年度接入点，蓝色单元格可调整。</t>
      </text>
    </comment>
    <comment ref="C25" authorId="0" shapeId="0">
      <text>
        <t>输入口径：设备接入年度接入点，蓝色单元格可调整。</t>
      </text>
    </comment>
    <comment ref="D25" authorId="0" shapeId="0">
      <text>
        <t>输入口径：设备接入年度接入点，蓝色单元格可调整。</t>
      </text>
    </comment>
    <comment ref="E25" authorId="0" shapeId="0">
      <text>
        <t>输入口径：设备接入年度接入点，蓝色单元格可调整。</t>
      </text>
    </comment>
    <comment ref="F25" authorId="0" shapeId="0">
      <text>
        <t>输入口径：设备接入年度接入点，蓝色单元格可调整。</t>
      </text>
    </comment>
    <comment ref="B26" authorId="0" shapeId="0">
      <text>
        <t>输入口径：万元/点</t>
      </text>
    </comment>
    <comment ref="C26" authorId="0" shapeId="0">
      <text>
        <t>输入口径：万元/点</t>
      </text>
    </comment>
    <comment ref="D26" authorId="0" shapeId="0">
      <text>
        <t>输入口径：万元/点</t>
      </text>
    </comment>
    <comment ref="E26" authorId="0" shapeId="0">
      <text>
        <t>输入口径：万元/点</t>
      </text>
    </comment>
    <comment ref="F26" authorId="0" shapeId="0">
      <text>
        <t>输入口径：万元/点</t>
      </text>
    </comment>
  </commentList>
</comments>
</file>

<file path=xl/comments/comment3.xml><?xml version="1.0" encoding="utf-8"?>
<comments xmlns="http://schemas.openxmlformats.org/spreadsheetml/2006/main">
  <authors>
    <author>SkyGuard</author>
  </authors>
  <commentList>
    <comment ref="B5" authorId="0" shapeId="0">
      <text>
        <t>输入口径：随订阅、报告和运维占比提升逐年改善。</t>
      </text>
    </comment>
    <comment ref="C5" authorId="0" shapeId="0">
      <text>
        <t>输入口径：随订阅、报告和运维占比提升逐年改善。</t>
      </text>
    </comment>
    <comment ref="D5" authorId="0" shapeId="0">
      <text>
        <t>输入口径：随订阅、报告和运维占比提升逐年改善。</t>
      </text>
    </comment>
    <comment ref="E5" authorId="0" shapeId="0">
      <text>
        <t>输入口径：随订阅、报告和运维占比提升逐年改善。</t>
      </text>
    </comment>
    <comment ref="F5" authorId="0" shapeId="0">
      <text>
        <t>输入口径：随订阅、报告和运维占比提升逐年改善。</t>
      </text>
    </comment>
    <comment ref="B9" authorId="0" shapeId="0">
      <text>
        <t>输入口径：产品、数据模型、部署工具和安全审计投入。</t>
      </text>
    </comment>
    <comment ref="C9" authorId="0" shapeId="0">
      <text>
        <t>输入口径：产品、数据模型、部署工具和安全审计投入。</t>
      </text>
    </comment>
    <comment ref="D9" authorId="0" shapeId="0">
      <text>
        <t>输入口径：产品、数据模型、部署工具和安全审计投入。</t>
      </text>
    </comment>
    <comment ref="E9" authorId="0" shapeId="0">
      <text>
        <t>输入口径：产品、数据模型、部署工具和安全审计投入。</t>
      </text>
    </comment>
    <comment ref="F9" authorId="0" shapeId="0">
      <text>
        <t>输入口径：产品、数据模型、部署工具和安全审计投入。</t>
      </text>
    </comment>
    <comment ref="B10" authorId="0" shapeId="0">
      <text>
        <t>输入口径：试点拓展、渠道伙伴和客户沟通成本。</t>
      </text>
    </comment>
    <comment ref="C10" authorId="0" shapeId="0">
      <text>
        <t>输入口径：试点拓展、渠道伙伴和客户沟通成本。</t>
      </text>
    </comment>
    <comment ref="D10" authorId="0" shapeId="0">
      <text>
        <t>输入口径：试点拓展、渠道伙伴和客户沟通成本。</t>
      </text>
    </comment>
    <comment ref="E10" authorId="0" shapeId="0">
      <text>
        <t>输入口径：试点拓展、渠道伙伴和客户沟通成本。</t>
      </text>
    </comment>
    <comment ref="F10" authorId="0" shapeId="0">
      <text>
        <t>输入口径：试点拓展、渠道伙伴和客户沟通成本。</t>
      </text>
    </comment>
    <comment ref="B11" authorId="0" shapeId="0">
      <text>
        <t>输入口径：公司管理、法务、财务和办公成本。</t>
      </text>
    </comment>
    <comment ref="C11" authorId="0" shapeId="0">
      <text>
        <t>输入口径：公司管理、法务、财务和办公成本。</t>
      </text>
    </comment>
    <comment ref="D11" authorId="0" shapeId="0">
      <text>
        <t>输入口径：公司管理、法务、财务和办公成本。</t>
      </text>
    </comment>
    <comment ref="E11" authorId="0" shapeId="0">
      <text>
        <t>输入口径：公司管理、法务、财务和办公成本。</t>
      </text>
    </comment>
    <comment ref="F11" authorId="0" shapeId="0">
      <text>
        <t>输入口径：公司管理、法务、财务和办公成本。</t>
      </text>
    </comment>
  </commentList>
</comments>
</file>

<file path=xl/comments/comment4.xml><?xml version="1.0" encoding="utf-8"?>
<comments xmlns="http://schemas.openxmlformats.org/spreadsheetml/2006/main">
  <authors>
    <author>SkyGuard</author>
  </authors>
  <commentList>
    <comment ref="C5" authorId="0" shapeId="0">
      <text>
        <t>输入口径：后续融资默认为0，可按真实计划调整。</t>
      </text>
    </comment>
    <comment ref="D5" authorId="0" shapeId="0">
      <text>
        <t>输入口径：后续融资默认为0，可按真实计划调整。</t>
      </text>
    </comment>
    <comment ref="E5" authorId="0" shapeId="0">
      <text>
        <t>输入口径：后续融资默认为0，可按真实计划调整。</t>
      </text>
    </comment>
    <comment ref="F5" authorId="0" shapeId="0">
      <text>
        <t>输入口径：后续融资默认为0，可按真实计划调整。</t>
      </text>
    </comment>
  </commentList>
</comments>
</file>

<file path=xl/comments/comment5.xml><?xml version="1.0" encoding="utf-8"?>
<comments xmlns="http://schemas.openxmlformats.org/spreadsheetml/2006/main">
  <authors>
    <author>SkyGuard</author>
  </authors>
  <commentList>
    <comment ref="B4" authorId="0" shapeId="0">
      <text>
        <t>输入口径：保守情景收入乘数。</t>
      </text>
    </comment>
    <comment ref="B5" authorId="0" shapeId="0">
      <text>
        <t>输入口径：基准情景收入乘数。</t>
      </text>
    </comment>
    <comment ref="B6" authorId="0" shapeId="0">
      <text>
        <t>输入口径：乐观情景收入乘数。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4" customWidth="1" min="9" max="9"/>
  </cols>
  <sheetData>
    <row r="1">
      <c r="A1" s="1" t="inlineStr">
        <is>
          <t>SkyGuard 财务仪表盘</t>
        </is>
      </c>
    </row>
    <row r="2"/>
    <row r="3">
      <c r="A3" s="2" t="inlineStr">
        <is>
          <t>年份</t>
        </is>
      </c>
      <c r="B3" s="2" t="inlineStr">
        <is>
          <t>收入</t>
        </is>
      </c>
      <c r="C3" s="2" t="inlineStr">
        <is>
          <t>毛利</t>
        </is>
      </c>
      <c r="D3" s="2" t="inlineStr">
        <is>
          <t>EBITDA</t>
        </is>
      </c>
      <c r="E3" s="2" t="inlineStr">
        <is>
          <t>经营现金流</t>
        </is>
      </c>
      <c r="F3" s="2" t="inlineStr">
        <is>
          <t>期末现金</t>
        </is>
      </c>
      <c r="G3" s="2" t="inlineStr">
        <is>
          <t>毛利率</t>
        </is>
      </c>
      <c r="H3" s="2" t="inlineStr">
        <is>
          <t>收入同比</t>
        </is>
      </c>
      <c r="I3" s="2" t="inlineStr">
        <is>
          <t>现金状态</t>
        </is>
      </c>
    </row>
    <row r="4">
      <c r="A4" s="3" t="n">
        <v>2026</v>
      </c>
      <c r="B4" s="4">
        <f>'收入'!B28</f>
        <v/>
      </c>
      <c r="C4" s="4">
        <f>'成本费用'!B7</f>
        <v/>
      </c>
      <c r="D4" s="4">
        <f>'成本费用'!B14</f>
        <v/>
      </c>
      <c r="E4" s="4">
        <f>'现金流'!B10</f>
        <v/>
      </c>
      <c r="F4" s="4">
        <f>'现金流'!B11</f>
        <v/>
      </c>
      <c r="G4" s="4">
        <f>'成本费用'!B8</f>
        <v/>
      </c>
      <c r="H4" s="4">
        <f>'收入'!B29</f>
        <v/>
      </c>
      <c r="I4" s="4">
        <f>'现金流'!B12</f>
        <v/>
      </c>
    </row>
    <row r="5">
      <c r="A5" s="3" t="n">
        <v>2027</v>
      </c>
      <c r="B5" s="4">
        <f>'收入'!C28</f>
        <v/>
      </c>
      <c r="C5" s="4">
        <f>'成本费用'!C7</f>
        <v/>
      </c>
      <c r="D5" s="4">
        <f>'成本费用'!C14</f>
        <v/>
      </c>
      <c r="E5" s="4">
        <f>'现金流'!C10</f>
        <v/>
      </c>
      <c r="F5" s="4">
        <f>'现金流'!C11</f>
        <v/>
      </c>
      <c r="G5" s="4">
        <f>'成本费用'!C8</f>
        <v/>
      </c>
      <c r="H5" s="4">
        <f>'收入'!C29</f>
        <v/>
      </c>
      <c r="I5" s="4">
        <f>'现金流'!C12</f>
        <v/>
      </c>
    </row>
    <row r="6">
      <c r="A6" s="3" t="n">
        <v>2028</v>
      </c>
      <c r="B6" s="4">
        <f>'收入'!D28</f>
        <v/>
      </c>
      <c r="C6" s="4">
        <f>'成本费用'!D7</f>
        <v/>
      </c>
      <c r="D6" s="4">
        <f>'成本费用'!D14</f>
        <v/>
      </c>
      <c r="E6" s="4">
        <f>'现金流'!D10</f>
        <v/>
      </c>
      <c r="F6" s="4">
        <f>'现金流'!D11</f>
        <v/>
      </c>
      <c r="G6" s="4">
        <f>'成本费用'!D8</f>
        <v/>
      </c>
      <c r="H6" s="4">
        <f>'收入'!D29</f>
        <v/>
      </c>
      <c r="I6" s="4">
        <f>'现金流'!D12</f>
        <v/>
      </c>
    </row>
    <row r="7">
      <c r="A7" s="3" t="n">
        <v>2029</v>
      </c>
      <c r="B7" s="4">
        <f>'收入'!E28</f>
        <v/>
      </c>
      <c r="C7" s="4">
        <f>'成本费用'!E7</f>
        <v/>
      </c>
      <c r="D7" s="4">
        <f>'成本费用'!E14</f>
        <v/>
      </c>
      <c r="E7" s="4">
        <f>'现金流'!E10</f>
        <v/>
      </c>
      <c r="F7" s="4">
        <f>'现金流'!E11</f>
        <v/>
      </c>
      <c r="G7" s="4">
        <f>'成本费用'!E8</f>
        <v/>
      </c>
      <c r="H7" s="4">
        <f>'收入'!E29</f>
        <v/>
      </c>
      <c r="I7" s="4">
        <f>'现金流'!E12</f>
        <v/>
      </c>
    </row>
    <row r="8">
      <c r="A8" s="3" t="n">
        <v>2030</v>
      </c>
      <c r="B8" s="4">
        <f>'收入'!F28</f>
        <v/>
      </c>
      <c r="C8" s="4">
        <f>'成本费用'!F7</f>
        <v/>
      </c>
      <c r="D8" s="4">
        <f>'成本费用'!F14</f>
        <v/>
      </c>
      <c r="E8" s="4">
        <f>'现金流'!F10</f>
        <v/>
      </c>
      <c r="F8" s="4">
        <f>'现金流'!F11</f>
        <v/>
      </c>
      <c r="G8" s="4">
        <f>'成本费用'!F8</f>
        <v/>
      </c>
      <c r="H8" s="4">
        <f>'收入'!F29</f>
        <v/>
      </c>
      <c r="I8" s="4">
        <f>'现金流'!F12</f>
        <v/>
      </c>
    </row>
    <row r="9"/>
    <row r="10"/>
    <row r="11">
      <c r="A11" s="3" t="inlineStr">
        <is>
          <t>模型状态</t>
        </is>
      </c>
      <c r="B11" s="4">
        <f>Checks!B10</f>
        <v/>
      </c>
      <c r="D11" s="3" t="inlineStr">
        <is>
          <t>NPV</t>
        </is>
      </c>
      <c r="E11" s="4">
        <f>'投资评价'!B11</f>
        <v/>
      </c>
      <c r="G11" s="3" t="inlineStr">
        <is>
          <t>IRR</t>
        </is>
      </c>
      <c r="H11" s="4">
        <f>'投资评价'!B12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34" customWidth="1" min="5" max="5"/>
  </cols>
  <sheetData>
    <row r="1">
      <c r="A1" s="1" t="inlineStr">
        <is>
          <t>SkyGuard 财务模型假设与口径</t>
        </is>
      </c>
    </row>
    <row r="2"/>
    <row r="3">
      <c r="A3" s="2" t="inlineStr">
        <is>
          <t>类别</t>
        </is>
      </c>
      <c r="B3" s="2" t="inlineStr">
        <is>
          <t>项目</t>
        </is>
      </c>
      <c r="C3" s="2" t="inlineStr">
        <is>
          <t>数值/口径</t>
        </is>
      </c>
      <c r="D3" s="2" t="inlineStr">
        <is>
          <t>说明</t>
        </is>
      </c>
      <c r="E3" s="2" t="inlineStr">
        <is>
          <t>来源</t>
        </is>
      </c>
    </row>
    <row r="4">
      <c r="A4" s="3" t="inlineStr">
        <is>
          <t>模型约定</t>
        </is>
      </c>
      <c r="B4" s="3" t="inlineStr">
        <is>
          <t>金额单位</t>
        </is>
      </c>
      <c r="C4" s="3" t="inlineStr">
        <is>
          <t>万元</t>
        </is>
      </c>
      <c r="D4" s="3" t="inlineStr">
        <is>
          <t>除特别注明外，收入、成本、现金流均以人民币万元表达。</t>
        </is>
      </c>
      <c r="E4" s="3" t="inlineStr">
        <is>
          <t>课程计划书财务分析要求</t>
        </is>
      </c>
    </row>
    <row r="5">
      <c r="A5" s="3" t="inlineStr">
        <is>
          <t>模型约定</t>
        </is>
      </c>
      <c r="B5" s="3" t="inlineStr">
        <is>
          <t>预测期</t>
        </is>
      </c>
      <c r="C5" s="3" t="inlineStr">
        <is>
          <t>2026-2030</t>
        </is>
      </c>
      <c r="D5" s="3" t="inlineStr">
        <is>
          <t>五年滚动预测，适合作为创业计划书的经营测算。</t>
        </is>
      </c>
      <c r="E5" s="3" t="inlineStr">
        <is>
          <t>课程计划书财务分析要求</t>
        </is>
      </c>
    </row>
    <row r="6">
      <c r="A6" s="3" t="inlineStr">
        <is>
          <t>模型约定</t>
        </is>
      </c>
      <c r="B6" s="3" t="inlineStr">
        <is>
          <t>估值日</t>
        </is>
      </c>
      <c r="C6" s="3" t="inlineStr">
        <is>
          <t>2026-07-05</t>
        </is>
      </c>
      <c r="D6" s="3" t="inlineStr">
        <is>
          <t>按当前课程提交节点生成模型。</t>
        </is>
      </c>
      <c r="E6" s="3" t="inlineStr">
        <is>
          <t>项目交付节点</t>
        </is>
      </c>
    </row>
    <row r="7">
      <c r="A7" s="3" t="inlineStr">
        <is>
          <t>关键输入</t>
        </is>
      </c>
      <c r="B7" s="3" t="inlineStr">
        <is>
          <t>折现率</t>
        </is>
      </c>
      <c r="C7" s="5" t="n">
        <v>0.14</v>
      </c>
      <c r="D7" s="3" t="inlineStr">
        <is>
          <t>用于 NPV 和敏感性测算。</t>
        </is>
      </c>
      <c r="E7" s="3" t="inlineStr">
        <is>
          <t>经营假设</t>
        </is>
      </c>
    </row>
    <row r="8">
      <c r="A8" s="3" t="inlineStr">
        <is>
          <t>关键输入</t>
        </is>
      </c>
      <c r="B8" s="3" t="inlineStr">
        <is>
          <t>所得税率</t>
        </is>
      </c>
      <c r="C8" s="5" t="n">
        <v>0.15</v>
      </c>
      <c r="D8" s="3" t="inlineStr">
        <is>
          <t>盈利年度简化税率，亏损年度不计所得税。</t>
        </is>
      </c>
      <c r="E8" s="3" t="inlineStr">
        <is>
          <t>经营假设</t>
        </is>
      </c>
    </row>
    <row r="9">
      <c r="A9" s="3" t="inlineStr">
        <is>
          <t>关键输入</t>
        </is>
      </c>
      <c r="B9" s="3" t="inlineStr">
        <is>
          <t>营运资本占收入增量比例</t>
        </is>
      </c>
      <c r="C9" s="5" t="n">
        <v>0.08</v>
      </c>
      <c r="D9" s="3" t="inlineStr">
        <is>
          <t>用于估算回款周期和应收占用。</t>
        </is>
      </c>
      <c r="E9" s="3" t="inlineStr">
        <is>
          <t>经营假设</t>
        </is>
      </c>
    </row>
    <row r="10">
      <c r="A10" s="3" t="inlineStr">
        <is>
          <t>关键输入</t>
        </is>
      </c>
      <c r="B10" s="3" t="inlineStr">
        <is>
          <t>资本开支率</t>
        </is>
      </c>
      <c r="C10" s="5" t="n">
        <v>0.04</v>
      </c>
      <c r="D10" s="3" t="inlineStr">
        <is>
          <t>轻资产平台必要设备、云资源和试点工具投入。</t>
        </is>
      </c>
      <c r="E10" s="3" t="inlineStr">
        <is>
          <t>经营假设</t>
        </is>
      </c>
    </row>
    <row r="11">
      <c r="A11" s="3" t="inlineStr">
        <is>
          <t>关键输入</t>
        </is>
      </c>
      <c r="B11" s="3" t="inlineStr">
        <is>
          <t>折旧摊销率</t>
        </is>
      </c>
      <c r="C11" s="5" t="n">
        <v>0.03</v>
      </c>
      <c r="D11" s="3" t="inlineStr">
        <is>
          <t>对资本化投入进行简化摊销。</t>
        </is>
      </c>
      <c r="E11" s="3" t="inlineStr">
        <is>
          <t>经营假设</t>
        </is>
      </c>
    </row>
    <row r="12">
      <c r="A12" s="3" t="inlineStr">
        <is>
          <t>关键输入</t>
        </is>
      </c>
      <c r="B12" s="3" t="inlineStr">
        <is>
          <t>客户成功费用率</t>
        </is>
      </c>
      <c r="C12" s="5" t="n">
        <v>0.05</v>
      </c>
      <c r="D12" s="3" t="inlineStr">
        <is>
          <t>随客户规模增加的规则维护、培训和复盘会议成本。</t>
        </is>
      </c>
      <c r="E12" s="3" t="inlineStr">
        <is>
          <t>经营假设</t>
        </is>
      </c>
    </row>
    <row r="13">
      <c r="A13" s="3" t="inlineStr">
        <is>
          <t>关键输入</t>
        </is>
      </c>
      <c r="B13" s="3" t="inlineStr">
        <is>
          <t>期初现金</t>
        </is>
      </c>
      <c r="C13" s="5" t="n">
        <v>220</v>
      </c>
      <c r="D13" s="3" t="inlineStr">
        <is>
          <t>项目启动资金和已有资源折算。</t>
        </is>
      </c>
      <c r="E13" s="3" t="inlineStr">
        <is>
          <t>经营假设</t>
        </is>
      </c>
    </row>
    <row r="14">
      <c r="A14" s="3" t="inlineStr">
        <is>
          <t>关键输入</t>
        </is>
      </c>
      <c r="B14" s="3" t="inlineStr">
        <is>
          <t>首轮融资流入</t>
        </is>
      </c>
      <c r="C14" s="5" t="n">
        <v>450</v>
      </c>
      <c r="D14" s="3" t="inlineStr">
        <is>
          <t>用于产品打磨、试点交付、数据治理和客户成功。</t>
        </is>
      </c>
      <c r="E14" s="3" t="inlineStr">
        <is>
          <t>融资假设</t>
        </is>
      </c>
    </row>
    <row r="15">
      <c r="A15" s="3" t="inlineStr">
        <is>
          <t>经营假设</t>
        </is>
      </c>
      <c r="B15" s="3" t="inlineStr">
        <is>
          <t>Lite SaaS年费</t>
        </is>
      </c>
      <c r="C15" s="3" t="inlineStr">
        <is>
          <t>8-15万元/年，模型取12万元/年</t>
        </is>
      </c>
      <c r="D15" s="3" t="inlineStr">
        <is>
          <t>来自原始商业模型口径。</t>
        </is>
      </c>
      <c r="E15" s="3" t="inlineStr">
        <is>
          <t>经营假设</t>
        </is>
      </c>
    </row>
    <row r="16">
      <c r="A16" s="3" t="inlineStr">
        <is>
          <t>经营假设</t>
        </is>
      </c>
      <c r="B16" s="3" t="inlineStr">
        <is>
          <t>Pro部署</t>
        </is>
      </c>
      <c r="C16" s="3" t="inlineStr">
        <is>
          <t>30-80万元/项目，模型按项目复杂度阶梯增长</t>
        </is>
      </c>
      <c r="D16" s="3" t="inlineStr">
        <is>
          <t>来自原始商业模型口径。</t>
        </is>
      </c>
      <c r="E16" s="3" t="inlineStr">
        <is>
          <t>经营假设</t>
        </is>
      </c>
    </row>
    <row r="17">
      <c r="A17" s="3" t="inlineStr">
        <is>
          <t>经营假设</t>
        </is>
      </c>
      <c r="B17" s="3" t="inlineStr">
        <is>
          <t>Gov试点</t>
        </is>
      </c>
      <c r="C17" s="3" t="inlineStr">
        <is>
          <t>100-300万元/项目，谨慎计入首年无收入</t>
        </is>
      </c>
      <c r="D17" s="3" t="inlineStr">
        <is>
          <t>来自原始商业模型口径。</t>
        </is>
      </c>
      <c r="E17" s="3" t="inlineStr">
        <is>
          <t>经营假设</t>
        </is>
      </c>
    </row>
    <row r="18">
      <c r="A18" s="3" t="inlineStr">
        <is>
          <t>经营假设</t>
        </is>
      </c>
      <c r="B18" s="3" t="inlineStr">
        <is>
          <t>活动保障</t>
        </is>
      </c>
      <c r="C18" s="3" t="inlineStr">
        <is>
          <t>5-30万元/次，适合赛事、演唱会、会展</t>
        </is>
      </c>
      <c r="D18" s="3" t="inlineStr">
        <is>
          <t>来自原始商业模型口径。</t>
        </is>
      </c>
      <c r="E18" s="3" t="inlineStr">
        <is>
          <t>经营假设</t>
        </is>
      </c>
    </row>
    <row r="19">
      <c r="A19" s="3" t="inlineStr">
        <is>
          <t>经营假设</t>
        </is>
      </c>
      <c r="B19" s="3" t="inlineStr">
        <is>
          <t>航线评估</t>
        </is>
      </c>
      <c r="C19" s="3" t="inlineStr">
        <is>
          <t>3000-20000元/条，按批量航线折扣</t>
        </is>
      </c>
      <c r="D19" s="3" t="inlineStr">
        <is>
          <t>来自原始商业模型口径。</t>
        </is>
      </c>
      <c r="E19" s="3" t="inlineStr">
        <is>
          <t>经营假设</t>
        </is>
      </c>
    </row>
    <row r="20">
      <c r="A20" s="3" t="inlineStr">
        <is>
          <t>经营假设</t>
        </is>
      </c>
      <c r="B20" s="3" t="inlineStr">
        <is>
          <t>运维服务</t>
        </is>
      </c>
      <c r="C20" s="3" t="inlineStr">
        <is>
          <t>合同额10%-20%/年</t>
        </is>
      </c>
      <c r="D20" s="3" t="inlineStr">
        <is>
          <t>来自原始商业模型口径。</t>
        </is>
      </c>
      <c r="E20" s="3" t="inlineStr">
        <is>
          <t>经营假设</t>
        </is>
      </c>
    </row>
    <row r="21">
      <c r="A21" s="3" t="inlineStr">
        <is>
          <t>经营假设</t>
        </is>
      </c>
      <c r="B21" s="3" t="inlineStr">
        <is>
          <t>毛利率</t>
        </is>
      </c>
      <c r="C21" s="3" t="inlineStr">
        <is>
          <t>随SaaS、报告、运维占比提高逐年改善</t>
        </is>
      </c>
      <c r="D21" s="3" t="inlineStr">
        <is>
          <t>来自原始商业模型口径。</t>
        </is>
      </c>
      <c r="E21" s="3" t="inlineStr">
        <is>
          <t>经营假设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4" customWidth="1" min="7" max="7"/>
  </cols>
  <sheetData>
    <row r="1">
      <c r="A1" s="1" t="inlineStr">
        <is>
          <t>收入驱动模型</t>
        </is>
      </c>
    </row>
    <row r="2"/>
    <row r="3">
      <c r="A3" s="2" t="inlineStr">
        <is>
          <t>指标</t>
        </is>
      </c>
      <c r="B3" s="2" t="inlineStr">
        <is>
          <t>2026</t>
        </is>
      </c>
      <c r="C3" s="2" t="inlineStr">
        <is>
          <t>2027</t>
        </is>
      </c>
      <c r="D3" s="2" t="inlineStr">
        <is>
          <t>2028</t>
        </is>
      </c>
      <c r="E3" s="2" t="inlineStr">
        <is>
          <t>2029</t>
        </is>
      </c>
      <c r="F3" s="2" t="inlineStr">
        <is>
          <t>2030</t>
        </is>
      </c>
      <c r="G3" s="2" t="inlineStr">
        <is>
          <t>备注</t>
        </is>
      </c>
    </row>
    <row r="4">
      <c r="A4" s="3" t="inlineStr">
        <is>
          <t>Lite SaaS客户数</t>
        </is>
      </c>
      <c r="B4" s="6" t="n">
        <v>4</v>
      </c>
      <c r="C4" s="6" t="n">
        <v>14</v>
      </c>
      <c r="D4" s="6" t="n">
        <v>35</v>
      </c>
      <c r="E4" s="6" t="n">
        <v>65</v>
      </c>
      <c r="F4" s="6" t="n">
        <v>100</v>
      </c>
      <c r="G4" s="7" t="inlineStr">
        <is>
          <t>Lite SaaS年度客户数，蓝色单元格可调整。</t>
        </is>
      </c>
    </row>
    <row r="5">
      <c r="A5" s="3" t="inlineStr">
        <is>
          <t>Lite SaaS年费</t>
        </is>
      </c>
      <c r="B5" s="5" t="n">
        <v>12</v>
      </c>
      <c r="C5" s="5" t="n">
        <v>12</v>
      </c>
      <c r="D5" s="5" t="n">
        <v>12</v>
      </c>
      <c r="E5" s="5" t="n">
        <v>12</v>
      </c>
      <c r="F5" s="5" t="n">
        <v>12</v>
      </c>
      <c r="G5" s="3" t="inlineStr">
        <is>
          <t>万元/年/客户</t>
        </is>
      </c>
    </row>
    <row r="6">
      <c r="A6" s="3" t="inlineStr">
        <is>
          <t>Lite SaaS收入</t>
        </is>
      </c>
      <c r="B6" s="8">
        <f>B4*B5</f>
        <v/>
      </c>
      <c r="C6" s="8">
        <f>C4*C5</f>
        <v/>
      </c>
      <c r="D6" s="8">
        <f>D4*D5</f>
        <v/>
      </c>
      <c r="E6" s="8">
        <f>E4*E5</f>
        <v/>
      </c>
      <c r="F6" s="8">
        <f>F4*F5</f>
        <v/>
      </c>
      <c r="G6" s="3" t="inlineStr">
        <is>
          <t>由数量和单价公式计算。</t>
        </is>
      </c>
    </row>
    <row r="7">
      <c r="A7" s="3" t="inlineStr">
        <is>
          <t>Pro部署项目数</t>
        </is>
      </c>
      <c r="B7" s="6" t="n">
        <v>2</v>
      </c>
      <c r="C7" s="6" t="n">
        <v>7</v>
      </c>
      <c r="D7" s="6" t="n">
        <v>16</v>
      </c>
      <c r="E7" s="6" t="n">
        <v>25</v>
      </c>
      <c r="F7" s="6" t="n">
        <v>35</v>
      </c>
      <c r="G7" s="7" t="inlineStr">
        <is>
          <t>Pro部署年度项目数，蓝色单元格可调整。</t>
        </is>
      </c>
    </row>
    <row r="8">
      <c r="A8" s="3" t="inlineStr">
        <is>
          <t>Pro部署客单价</t>
        </is>
      </c>
      <c r="B8" s="5" t="n">
        <v>60</v>
      </c>
      <c r="C8" s="5" t="n">
        <v>60</v>
      </c>
      <c r="D8" s="5" t="n">
        <v>60</v>
      </c>
      <c r="E8" s="5" t="n">
        <v>60</v>
      </c>
      <c r="F8" s="5" t="n">
        <v>60</v>
      </c>
      <c r="G8" s="3" t="inlineStr">
        <is>
          <t>万元/项目</t>
        </is>
      </c>
    </row>
    <row r="9">
      <c r="A9" s="3" t="inlineStr">
        <is>
          <t>Pro部署收入</t>
        </is>
      </c>
      <c r="B9" s="8">
        <f>B7*B8</f>
        <v/>
      </c>
      <c r="C9" s="8">
        <f>C7*C8</f>
        <v/>
      </c>
      <c r="D9" s="8">
        <f>D7*D8</f>
        <v/>
      </c>
      <c r="E9" s="8">
        <f>E7*E8</f>
        <v/>
      </c>
      <c r="F9" s="8">
        <f>F7*F8</f>
        <v/>
      </c>
      <c r="G9" s="3" t="inlineStr">
        <is>
          <t>由数量和单价公式计算。</t>
        </is>
      </c>
    </row>
    <row r="10">
      <c r="A10" s="3" t="inlineStr">
        <is>
          <t>Gov试点项目数</t>
        </is>
      </c>
      <c r="B10" s="6" t="n">
        <v>0</v>
      </c>
      <c r="C10" s="6" t="n">
        <v>1</v>
      </c>
      <c r="D10" s="6" t="n">
        <v>3</v>
      </c>
      <c r="E10" s="6" t="n">
        <v>5</v>
      </c>
      <c r="F10" s="6" t="n">
        <v>7</v>
      </c>
      <c r="G10" s="7" t="inlineStr">
        <is>
          <t>Gov试点年度项目数，蓝色单元格可调整。</t>
        </is>
      </c>
    </row>
    <row r="11">
      <c r="A11" s="3" t="inlineStr">
        <is>
          <t>Gov试点客单价</t>
        </is>
      </c>
      <c r="B11" s="5" t="n">
        <v>200</v>
      </c>
      <c r="C11" s="5" t="n">
        <v>200</v>
      </c>
      <c r="D11" s="5" t="n">
        <v>200</v>
      </c>
      <c r="E11" s="5" t="n">
        <v>200</v>
      </c>
      <c r="F11" s="5" t="n">
        <v>214.3</v>
      </c>
      <c r="G11" s="3" t="inlineStr">
        <is>
          <t>万元/项目</t>
        </is>
      </c>
    </row>
    <row r="12">
      <c r="A12" s="3" t="inlineStr">
        <is>
          <t>Gov试点收入</t>
        </is>
      </c>
      <c r="B12" s="8">
        <f>B10*B11</f>
        <v/>
      </c>
      <c r="C12" s="8">
        <f>C10*C11</f>
        <v/>
      </c>
      <c r="D12" s="8">
        <f>D10*D11</f>
        <v/>
      </c>
      <c r="E12" s="8">
        <f>E10*E11</f>
        <v/>
      </c>
      <c r="F12" s="8">
        <f>F10*F11</f>
        <v/>
      </c>
      <c r="G12" s="3" t="inlineStr">
        <is>
          <t>由数量和单价公式计算。</t>
        </is>
      </c>
    </row>
    <row r="13">
      <c r="A13" s="3" t="inlineStr">
        <is>
          <t>活动保障场次</t>
        </is>
      </c>
      <c r="B13" s="6" t="n">
        <v>4</v>
      </c>
      <c r="C13" s="6" t="n">
        <v>15</v>
      </c>
      <c r="D13" s="6" t="n">
        <v>35</v>
      </c>
      <c r="E13" s="6" t="n">
        <v>60</v>
      </c>
      <c r="F13" s="6" t="n">
        <v>87</v>
      </c>
      <c r="G13" s="7" t="inlineStr">
        <is>
          <t>活动保障年度场次，蓝色单元格可调整。</t>
        </is>
      </c>
    </row>
    <row r="14">
      <c r="A14" s="3" t="inlineStr">
        <is>
          <t>活动保障客单价</t>
        </is>
      </c>
      <c r="B14" s="5" t="n">
        <v>5</v>
      </c>
      <c r="C14" s="5" t="n">
        <v>6</v>
      </c>
      <c r="D14" s="5" t="n">
        <v>6</v>
      </c>
      <c r="E14" s="5" t="n">
        <v>6</v>
      </c>
      <c r="F14" s="5" t="n">
        <v>6</v>
      </c>
      <c r="G14" s="3" t="inlineStr">
        <is>
          <t>万元/次</t>
        </is>
      </c>
    </row>
    <row r="15">
      <c r="A15" s="3" t="inlineStr">
        <is>
          <t>活动保障收入</t>
        </is>
      </c>
      <c r="B15" s="8">
        <f>B13*B14</f>
        <v/>
      </c>
      <c r="C15" s="8">
        <f>C13*C14</f>
        <v/>
      </c>
      <c r="D15" s="8">
        <f>D13*D14</f>
        <v/>
      </c>
      <c r="E15" s="8">
        <f>E13*E14</f>
        <v/>
      </c>
      <c r="F15" s="8">
        <f>F13*F14</f>
        <v/>
      </c>
      <c r="G15" s="3" t="inlineStr">
        <is>
          <t>由数量和单价公式计算。</t>
        </is>
      </c>
    </row>
    <row r="16">
      <c r="A16" s="3" t="inlineStr">
        <is>
          <t>航线评估条数</t>
        </is>
      </c>
      <c r="B16" s="6" t="n">
        <v>40</v>
      </c>
      <c r="C16" s="6" t="n">
        <v>220</v>
      </c>
      <c r="D16" s="6" t="n">
        <v>600</v>
      </c>
      <c r="E16" s="6" t="n">
        <v>1200</v>
      </c>
      <c r="F16" s="6" t="n">
        <v>2133</v>
      </c>
      <c r="G16" s="7" t="inlineStr">
        <is>
          <t>航线评估年度条数，蓝色单元格可调整。</t>
        </is>
      </c>
    </row>
    <row r="17">
      <c r="A17" s="3" t="inlineStr">
        <is>
          <t>航线评估单价</t>
        </is>
      </c>
      <c r="B17" s="5" t="n">
        <v>0.3</v>
      </c>
      <c r="C17" s="5" t="n">
        <v>0.3</v>
      </c>
      <c r="D17" s="5" t="n">
        <v>0.3</v>
      </c>
      <c r="E17" s="5" t="n">
        <v>0.3</v>
      </c>
      <c r="F17" s="5" t="n">
        <v>0.3</v>
      </c>
      <c r="G17" s="3" t="inlineStr">
        <is>
          <t>万元/条</t>
        </is>
      </c>
    </row>
    <row r="18">
      <c r="A18" s="3" t="inlineStr">
        <is>
          <t>航线评估收入</t>
        </is>
      </c>
      <c r="B18" s="8">
        <f>B16*B17</f>
        <v/>
      </c>
      <c r="C18" s="8">
        <f>C16*C17</f>
        <v/>
      </c>
      <c r="D18" s="8">
        <f>D16*D17</f>
        <v/>
      </c>
      <c r="E18" s="8">
        <f>E16*E17</f>
        <v/>
      </c>
      <c r="F18" s="8">
        <f>F16*F17</f>
        <v/>
      </c>
      <c r="G18" s="3" t="inlineStr">
        <is>
          <t>由数量和单价公式计算。</t>
        </is>
      </c>
    </row>
    <row r="19">
      <c r="A19" s="3" t="inlineStr">
        <is>
          <t>数据报告份数</t>
        </is>
      </c>
      <c r="B19" s="6" t="n">
        <v>0</v>
      </c>
      <c r="C19" s="6" t="n">
        <v>12</v>
      </c>
      <c r="D19" s="6" t="n">
        <v>36</v>
      </c>
      <c r="E19" s="6" t="n">
        <v>80</v>
      </c>
      <c r="F19" s="6" t="n">
        <v>140</v>
      </c>
      <c r="G19" s="7" t="inlineStr">
        <is>
          <t>数据报告年度份数，蓝色单元格可调整。</t>
        </is>
      </c>
    </row>
    <row r="20">
      <c r="A20" s="3" t="inlineStr">
        <is>
          <t>数据报告单价</t>
        </is>
      </c>
      <c r="B20" s="5" t="n">
        <v>3</v>
      </c>
      <c r="C20" s="5" t="n">
        <v>3</v>
      </c>
      <c r="D20" s="5" t="n">
        <v>3</v>
      </c>
      <c r="E20" s="5" t="n">
        <v>3</v>
      </c>
      <c r="F20" s="5" t="n">
        <v>3</v>
      </c>
      <c r="G20" s="3" t="inlineStr">
        <is>
          <t>万元/份</t>
        </is>
      </c>
    </row>
    <row r="21">
      <c r="A21" s="3" t="inlineStr">
        <is>
          <t>数据报告收入</t>
        </is>
      </c>
      <c r="B21" s="8">
        <f>B19*B20</f>
        <v/>
      </c>
      <c r="C21" s="8">
        <f>C19*C20</f>
        <v/>
      </c>
      <c r="D21" s="8">
        <f>D19*D20</f>
        <v/>
      </c>
      <c r="E21" s="8">
        <f>E19*E20</f>
        <v/>
      </c>
      <c r="F21" s="8">
        <f>F19*F20</f>
        <v/>
      </c>
      <c r="G21" s="3" t="inlineStr">
        <is>
          <t>由数量和单价公式计算。</t>
        </is>
      </c>
    </row>
    <row r="22">
      <c r="A22" s="3" t="inlineStr">
        <is>
          <t>运维服务客户数</t>
        </is>
      </c>
      <c r="B22" s="6" t="n">
        <v>0</v>
      </c>
      <c r="C22" s="6" t="n">
        <v>7</v>
      </c>
      <c r="D22" s="6" t="n">
        <v>23</v>
      </c>
      <c r="E22" s="6" t="n">
        <v>51</v>
      </c>
      <c r="F22" s="6" t="n">
        <v>90</v>
      </c>
      <c r="G22" s="7" t="inlineStr">
        <is>
          <t>运维服务年度客户数，蓝色单元格可调整。</t>
        </is>
      </c>
    </row>
    <row r="23">
      <c r="A23" s="3" t="inlineStr">
        <is>
          <t>运维服务年费</t>
        </is>
      </c>
      <c r="B23" s="5" t="n">
        <v>6</v>
      </c>
      <c r="C23" s="5" t="n">
        <v>6</v>
      </c>
      <c r="D23" s="5" t="n">
        <v>6</v>
      </c>
      <c r="E23" s="5" t="n">
        <v>6</v>
      </c>
      <c r="F23" s="5" t="n">
        <v>6</v>
      </c>
      <c r="G23" s="3" t="inlineStr">
        <is>
          <t>万元/年/客户</t>
        </is>
      </c>
    </row>
    <row r="24">
      <c r="A24" s="3" t="inlineStr">
        <is>
          <t>运维服务收入</t>
        </is>
      </c>
      <c r="B24" s="8">
        <f>B22*B23</f>
        <v/>
      </c>
      <c r="C24" s="8">
        <f>C22*C23</f>
        <v/>
      </c>
      <c r="D24" s="8">
        <f>D22*D23</f>
        <v/>
      </c>
      <c r="E24" s="8">
        <f>E22*E23</f>
        <v/>
      </c>
      <c r="F24" s="8">
        <f>F22*F23</f>
        <v/>
      </c>
      <c r="G24" s="3" t="inlineStr">
        <is>
          <t>由数量和单价公式计算。</t>
        </is>
      </c>
    </row>
    <row r="25">
      <c r="A25" s="3" t="inlineStr">
        <is>
          <t>设备接入接入点</t>
        </is>
      </c>
      <c r="B25" s="6" t="n">
        <v>5</v>
      </c>
      <c r="C25" s="6" t="n">
        <v>20</v>
      </c>
      <c r="D25" s="6" t="n">
        <v>43</v>
      </c>
      <c r="E25" s="6" t="n">
        <v>70</v>
      </c>
      <c r="F25" s="6" t="n">
        <v>103</v>
      </c>
      <c r="G25" s="7" t="inlineStr">
        <is>
          <t>设备接入年度接入点，蓝色单元格可调整。</t>
        </is>
      </c>
    </row>
    <row r="26">
      <c r="A26" s="3" t="inlineStr">
        <is>
          <t>设备接入单价</t>
        </is>
      </c>
      <c r="B26" s="5" t="n">
        <v>6</v>
      </c>
      <c r="C26" s="5" t="n">
        <v>6</v>
      </c>
      <c r="D26" s="5" t="n">
        <v>6.05</v>
      </c>
      <c r="E26" s="5" t="n">
        <v>6</v>
      </c>
      <c r="F26" s="5" t="n">
        <v>6.02</v>
      </c>
      <c r="G26" s="3" t="inlineStr">
        <is>
          <t>万元/点</t>
        </is>
      </c>
    </row>
    <row r="27">
      <c r="A27" s="3" t="inlineStr">
        <is>
          <t>设备接入收入</t>
        </is>
      </c>
      <c r="B27" s="8">
        <f>B25*B26</f>
        <v/>
      </c>
      <c r="C27" s="8">
        <f>C25*C26</f>
        <v/>
      </c>
      <c r="D27" s="8">
        <f>D25*D26</f>
        <v/>
      </c>
      <c r="E27" s="8">
        <f>E25*E26</f>
        <v/>
      </c>
      <c r="F27" s="8">
        <f>F25*F26</f>
        <v/>
      </c>
      <c r="G27" s="3" t="inlineStr">
        <is>
          <t>由数量和单价公式计算。</t>
        </is>
      </c>
    </row>
    <row r="28">
      <c r="A28" s="9" t="inlineStr">
        <is>
          <t>收入合计</t>
        </is>
      </c>
      <c r="B28" s="10">
        <f>SUM(B6,B9,B12,B15,B18,B21,B24,B27)</f>
        <v/>
      </c>
      <c r="C28" s="10">
        <f>SUM(C6,C9,C12,C15,C18,C21,C24,C27)</f>
        <v/>
      </c>
      <c r="D28" s="10">
        <f>SUM(D6,D9,D12,D15,D18,D21,D24,D27)</f>
        <v/>
      </c>
      <c r="E28" s="10">
        <f>SUM(E6,E9,E12,E15,E18,E21,E24,E27)</f>
        <v/>
      </c>
      <c r="F28" s="10">
        <f>SUM(F6,F9,F12,F15,F18,F21,F24,F27)</f>
        <v/>
      </c>
      <c r="G28" s="9" t="inlineStr">
        <is>
          <t>公式汇总所有收入项。</t>
        </is>
      </c>
    </row>
    <row r="29">
      <c r="A29" s="3" t="inlineStr">
        <is>
          <t>收入同比</t>
        </is>
      </c>
      <c r="B29" s="11" t="inlineStr">
        <is>
          <t>-</t>
        </is>
      </c>
      <c r="C29" s="12">
        <f>C28/B28-1</f>
        <v/>
      </c>
      <c r="D29" s="12">
        <f>D28/C28-1</f>
        <v/>
      </c>
      <c r="E29" s="12">
        <f>E28/D28-1</f>
        <v/>
      </c>
      <c r="F29" s="12">
        <f>F28/E28-1</f>
        <v/>
      </c>
      <c r="G29" s="11" t="inlineStr">
        <is>
          <t>用于检查增长节奏是否过度激进。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4" customWidth="1" min="7" max="7"/>
  </cols>
  <sheetData>
    <row r="1">
      <c r="A1" s="1" t="inlineStr">
        <is>
          <t>成本费用与盈利模型</t>
        </is>
      </c>
    </row>
    <row r="2"/>
    <row r="3">
      <c r="A3" s="2" t="inlineStr">
        <is>
          <t>指标</t>
        </is>
      </c>
      <c r="B3" s="2" t="inlineStr">
        <is>
          <t>2026</t>
        </is>
      </c>
      <c r="C3" s="2" t="inlineStr">
        <is>
          <t>2027</t>
        </is>
      </c>
      <c r="D3" s="2" t="inlineStr">
        <is>
          <t>2028</t>
        </is>
      </c>
      <c r="E3" s="2" t="inlineStr">
        <is>
          <t>2029</t>
        </is>
      </c>
      <c r="F3" s="2" t="inlineStr">
        <is>
          <t>2030</t>
        </is>
      </c>
      <c r="G3" s="2" t="inlineStr">
        <is>
          <t>备注</t>
        </is>
      </c>
    </row>
    <row r="4">
      <c r="A4" s="9" t="inlineStr">
        <is>
          <t>收入合计</t>
        </is>
      </c>
      <c r="B4" s="13">
        <f>'收入'!B28</f>
        <v/>
      </c>
      <c r="C4" s="13">
        <f>'收入'!C28</f>
        <v/>
      </c>
      <c r="D4" s="13">
        <f>'收入'!D28</f>
        <v/>
      </c>
      <c r="E4" s="13">
        <f>'收入'!E28</f>
        <v/>
      </c>
      <c r="F4" s="13">
        <f>'收入'!F28</f>
        <v/>
      </c>
      <c r="G4" s="9" t="inlineStr">
        <is>
          <t>链接收入模型。</t>
        </is>
      </c>
    </row>
    <row r="5">
      <c r="A5" s="3" t="inlineStr">
        <is>
          <t>营业成本率</t>
        </is>
      </c>
      <c r="B5" s="14" t="n">
        <v>0.52</v>
      </c>
      <c r="C5" s="14" t="n">
        <v>0.47</v>
      </c>
      <c r="D5" s="14" t="n">
        <v>0.42</v>
      </c>
      <c r="E5" s="14" t="n">
        <v>0.38</v>
      </c>
      <c r="F5" s="14" t="n">
        <v>0.35</v>
      </c>
      <c r="G5" s="11" t="inlineStr">
        <is>
          <t>随订阅、报告和运维占比提升逐年改善。</t>
        </is>
      </c>
    </row>
    <row r="6">
      <c r="A6" s="3" t="inlineStr">
        <is>
          <t>营业成本</t>
        </is>
      </c>
      <c r="B6" s="8">
        <f>B4*B5</f>
        <v/>
      </c>
      <c r="C6" s="8">
        <f>C4*C5</f>
        <v/>
      </c>
      <c r="D6" s="8">
        <f>D4*D5</f>
        <v/>
      </c>
      <c r="E6" s="8">
        <f>E4*E5</f>
        <v/>
      </c>
      <c r="F6" s="8">
        <f>F4*F5</f>
        <v/>
      </c>
      <c r="G6" s="3" t="inlineStr">
        <is>
          <t>由收入和成本率计算。</t>
        </is>
      </c>
    </row>
    <row r="7">
      <c r="A7" s="3" t="inlineStr">
        <is>
          <t>毛利</t>
        </is>
      </c>
      <c r="B7" s="8">
        <f>B4-B6</f>
        <v/>
      </c>
      <c r="C7" s="8">
        <f>C4-C6</f>
        <v/>
      </c>
      <c r="D7" s="8">
        <f>D4-D6</f>
        <v/>
      </c>
      <c r="E7" s="8">
        <f>E4-E6</f>
        <v/>
      </c>
      <c r="F7" s="8">
        <f>F4-F6</f>
        <v/>
      </c>
      <c r="G7" s="3" t="inlineStr">
        <is>
          <t>收入减营业成本。</t>
        </is>
      </c>
    </row>
    <row r="8">
      <c r="A8" s="3" t="inlineStr">
        <is>
          <t>毛利率</t>
        </is>
      </c>
      <c r="B8" s="12">
        <f>B7/B4</f>
        <v/>
      </c>
      <c r="C8" s="12">
        <f>C7/C4</f>
        <v/>
      </c>
      <c r="D8" s="12">
        <f>D7/D4</f>
        <v/>
      </c>
      <c r="E8" s="12">
        <f>E7/E4</f>
        <v/>
      </c>
      <c r="F8" s="12">
        <f>F7/F4</f>
        <v/>
      </c>
      <c r="G8" s="11" t="inlineStr">
        <is>
          <t>用于检查 SaaS 化带来的毛利改善。</t>
        </is>
      </c>
    </row>
    <row r="9">
      <c r="A9" s="3" t="inlineStr">
        <is>
          <t>研发</t>
        </is>
      </c>
      <c r="B9" s="5" t="n">
        <v>260</v>
      </c>
      <c r="C9" s="5" t="n">
        <v>360</v>
      </c>
      <c r="D9" s="5" t="n">
        <v>430</v>
      </c>
      <c r="E9" s="5" t="n">
        <v>520</v>
      </c>
      <c r="F9" s="5" t="n">
        <v>620</v>
      </c>
      <c r="G9" s="3" t="inlineStr">
        <is>
          <t>产品、数据模型、部署工具和安全审计投入。</t>
        </is>
      </c>
    </row>
    <row r="10">
      <c r="A10" s="3" t="inlineStr">
        <is>
          <t>销售</t>
        </is>
      </c>
      <c r="B10" s="5" t="n">
        <v>90</v>
      </c>
      <c r="C10" s="5" t="n">
        <v>180</v>
      </c>
      <c r="D10" s="5" t="n">
        <v>320</v>
      </c>
      <c r="E10" s="5" t="n">
        <v>480</v>
      </c>
      <c r="F10" s="5" t="n">
        <v>650</v>
      </c>
      <c r="G10" s="3" t="inlineStr">
        <is>
          <t>试点拓展、渠道伙伴和客户沟通成本。</t>
        </is>
      </c>
    </row>
    <row r="11">
      <c r="A11" s="3" t="inlineStr">
        <is>
          <t>行政</t>
        </is>
      </c>
      <c r="B11" s="5" t="n">
        <v>70</v>
      </c>
      <c r="C11" s="5" t="n">
        <v>90</v>
      </c>
      <c r="D11" s="5" t="n">
        <v>130</v>
      </c>
      <c r="E11" s="5" t="n">
        <v>170</v>
      </c>
      <c r="F11" s="5" t="n">
        <v>220</v>
      </c>
      <c r="G11" s="3" t="inlineStr">
        <is>
          <t>公司管理、法务、财务和办公成本。</t>
        </is>
      </c>
    </row>
    <row r="12">
      <c r="A12" s="3" t="inlineStr">
        <is>
          <t>客户成功与运维</t>
        </is>
      </c>
      <c r="B12" s="4">
        <f>B4*'假设'!$C$12</f>
        <v/>
      </c>
      <c r="C12" s="4">
        <f>C4*'假设'!$C$12</f>
        <v/>
      </c>
      <c r="D12" s="4">
        <f>D4*'假设'!$C$12</f>
        <v/>
      </c>
      <c r="E12" s="4">
        <f>E4*'假设'!$C$12</f>
        <v/>
      </c>
      <c r="F12" s="4">
        <f>F4*'假设'!$C$12</f>
        <v/>
      </c>
      <c r="G12" s="3" t="inlineStr">
        <is>
          <t>按收入比例估算持续服务成本。</t>
        </is>
      </c>
    </row>
    <row r="13">
      <c r="A13" s="9" t="inlineStr">
        <is>
          <t>费用合计</t>
        </is>
      </c>
      <c r="B13" s="10">
        <f>SUM(B9:B12)</f>
        <v/>
      </c>
      <c r="C13" s="10">
        <f>SUM(C9:C12)</f>
        <v/>
      </c>
      <c r="D13" s="10">
        <f>SUM(D9:D12)</f>
        <v/>
      </c>
      <c r="E13" s="10">
        <f>SUM(E9:E12)</f>
        <v/>
      </c>
      <c r="F13" s="10">
        <f>SUM(F9:F12)</f>
        <v/>
      </c>
      <c r="G13" s="9" t="inlineStr">
        <is>
          <t>研发、销售、行政、客户成功与运维合计。</t>
        </is>
      </c>
    </row>
    <row r="14">
      <c r="A14" s="9" t="inlineStr">
        <is>
          <t>EBITDA</t>
        </is>
      </c>
      <c r="B14" s="10">
        <f>B7-B13</f>
        <v/>
      </c>
      <c r="C14" s="10">
        <f>C7-C13</f>
        <v/>
      </c>
      <c r="D14" s="10">
        <f>D7-D13</f>
        <v/>
      </c>
      <c r="E14" s="10">
        <f>E7-E13</f>
        <v/>
      </c>
      <c r="F14" s="10">
        <f>F7-F13</f>
        <v/>
      </c>
      <c r="G14" s="9" t="inlineStr">
        <is>
          <t>毛利扣除经营费用。</t>
        </is>
      </c>
    </row>
    <row r="15">
      <c r="A15" s="3" t="inlineStr">
        <is>
          <t>EBITDA率</t>
        </is>
      </c>
      <c r="B15" s="12">
        <f>B14/B4</f>
        <v/>
      </c>
      <c r="C15" s="12">
        <f>C14/C4</f>
        <v/>
      </c>
      <c r="D15" s="12">
        <f>D14/D4</f>
        <v/>
      </c>
      <c r="E15" s="12">
        <f>E14/E4</f>
        <v/>
      </c>
      <c r="F15" s="12">
        <f>F14/F4</f>
        <v/>
      </c>
      <c r="G15" s="11" t="inlineStr">
        <is>
          <t>EBITDA / 收入。</t>
        </is>
      </c>
    </row>
    <row r="16">
      <c r="A16" s="3" t="inlineStr">
        <is>
          <t>所得税</t>
        </is>
      </c>
      <c r="B16" s="4">
        <f>MAX(B14,0)*'假设'!$C$8</f>
        <v/>
      </c>
      <c r="C16" s="4">
        <f>MAX(C14,0)*'假设'!$C$8</f>
        <v/>
      </c>
      <c r="D16" s="4">
        <f>MAX(D14,0)*'假设'!$C$8</f>
        <v/>
      </c>
      <c r="E16" s="4">
        <f>MAX(E14,0)*'假设'!$C$8</f>
        <v/>
      </c>
      <c r="F16" s="4">
        <f>MAX(F14,0)*'假设'!$C$8</f>
        <v/>
      </c>
      <c r="G16" s="3" t="inlineStr">
        <is>
          <t>盈利年度按假设税率估算。</t>
        </is>
      </c>
    </row>
    <row r="17">
      <c r="A17" s="9" t="inlineStr">
        <is>
          <t>净利润</t>
        </is>
      </c>
      <c r="B17" s="10">
        <f>B14-B16</f>
        <v/>
      </c>
      <c r="C17" s="10">
        <f>C14-C16</f>
        <v/>
      </c>
      <c r="D17" s="10">
        <f>D14-D16</f>
        <v/>
      </c>
      <c r="E17" s="10">
        <f>E14-E16</f>
        <v/>
      </c>
      <c r="F17" s="10">
        <f>F14-F16</f>
        <v/>
      </c>
      <c r="G17" s="9" t="inlineStr">
        <is>
          <t>税后经营结果。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4" customWidth="1" min="7" max="7"/>
  </cols>
  <sheetData>
    <row r="1">
      <c r="A1" s="1" t="inlineStr">
        <is>
          <t>现金流与资金 runway</t>
        </is>
      </c>
    </row>
    <row r="2"/>
    <row r="3">
      <c r="A3" s="2" t="inlineStr">
        <is>
          <t>指标</t>
        </is>
      </c>
      <c r="B3" s="2" t="inlineStr">
        <is>
          <t>2026</t>
        </is>
      </c>
      <c r="C3" s="2" t="inlineStr">
        <is>
          <t>2027</t>
        </is>
      </c>
      <c r="D3" s="2" t="inlineStr">
        <is>
          <t>2028</t>
        </is>
      </c>
      <c r="E3" s="2" t="inlineStr">
        <is>
          <t>2029</t>
        </is>
      </c>
      <c r="F3" s="2" t="inlineStr">
        <is>
          <t>2030</t>
        </is>
      </c>
      <c r="G3" s="2" t="inlineStr">
        <is>
          <t>备注</t>
        </is>
      </c>
    </row>
    <row r="4">
      <c r="A4" s="3" t="inlineStr">
        <is>
          <t>期初现金</t>
        </is>
      </c>
      <c r="B4" s="4">
        <f>'假设'!$C$13</f>
        <v/>
      </c>
      <c r="C4" s="8">
        <f>B11</f>
        <v/>
      </c>
      <c r="D4" s="8">
        <f>C11</f>
        <v/>
      </c>
      <c r="E4" s="8">
        <f>D11</f>
        <v/>
      </c>
      <c r="F4" s="8">
        <f>E11</f>
        <v/>
      </c>
      <c r="G4" s="3" t="inlineStr">
        <is>
          <t>首年来自假设，后续链接上一年期末现金。</t>
        </is>
      </c>
    </row>
    <row r="5">
      <c r="A5" s="3" t="inlineStr">
        <is>
          <t>融资流入</t>
        </is>
      </c>
      <c r="B5" s="4">
        <f>'假设'!$C$14</f>
        <v/>
      </c>
      <c r="C5" s="5" t="n">
        <v>0</v>
      </c>
      <c r="D5" s="5" t="n">
        <v>0</v>
      </c>
      <c r="E5" s="5" t="n">
        <v>0</v>
      </c>
      <c r="F5" s="5" t="n">
        <v>0</v>
      </c>
      <c r="G5" s="3" t="inlineStr">
        <is>
          <t>默认首年融资，后续可按实际调整。</t>
        </is>
      </c>
    </row>
    <row r="6">
      <c r="A6" s="9" t="inlineStr">
        <is>
          <t>净利润</t>
        </is>
      </c>
      <c r="B6" s="13">
        <f>'成本费用'!B17</f>
        <v/>
      </c>
      <c r="C6" s="13">
        <f>'成本费用'!C17</f>
        <v/>
      </c>
      <c r="D6" s="13">
        <f>'成本费用'!D17</f>
        <v/>
      </c>
      <c r="E6" s="13">
        <f>'成本费用'!E17</f>
        <v/>
      </c>
      <c r="F6" s="13">
        <f>'成本费用'!F17</f>
        <v/>
      </c>
      <c r="G6" s="15" t="n"/>
    </row>
    <row r="7">
      <c r="A7" s="3" t="inlineStr">
        <is>
          <t>折旧摊销</t>
        </is>
      </c>
      <c r="B7" s="4">
        <f>'收入'!B28*'假设'!$C$11</f>
        <v/>
      </c>
      <c r="C7" s="4">
        <f>'收入'!C28*'假设'!$C$11</f>
        <v/>
      </c>
      <c r="D7" s="4">
        <f>'收入'!D28*'假设'!$C$11</f>
        <v/>
      </c>
      <c r="E7" s="4">
        <f>'收入'!E28*'假设'!$C$11</f>
        <v/>
      </c>
      <c r="F7" s="4">
        <f>'收入'!F28*'假设'!$C$11</f>
        <v/>
      </c>
    </row>
    <row r="8">
      <c r="A8" s="3" t="inlineStr">
        <is>
          <t>营运资本占用</t>
        </is>
      </c>
      <c r="B8" s="4">
        <f>-'收入'!B28*'假设'!$C$9</f>
        <v/>
      </c>
      <c r="C8" s="4">
        <f>-('收入'!C28-'收入'!B28)*'假设'!$C$9</f>
        <v/>
      </c>
      <c r="D8" s="4">
        <f>-('收入'!D28-'收入'!C28)*'假设'!$C$9</f>
        <v/>
      </c>
      <c r="E8" s="4">
        <f>-('收入'!E28-'收入'!D28)*'假设'!$C$9</f>
        <v/>
      </c>
      <c r="F8" s="4">
        <f>-('收入'!F28-'收入'!E28)*'假设'!$C$9</f>
        <v/>
      </c>
    </row>
    <row r="9">
      <c r="A9" s="3" t="inlineStr">
        <is>
          <t>资本开支</t>
        </is>
      </c>
      <c r="B9" s="4">
        <f>-'收入'!B28*'假设'!$C$10</f>
        <v/>
      </c>
      <c r="C9" s="4">
        <f>-'收入'!C28*'假设'!$C$10</f>
        <v/>
      </c>
      <c r="D9" s="4">
        <f>-'收入'!D28*'假设'!$C$10</f>
        <v/>
      </c>
      <c r="E9" s="4">
        <f>-'收入'!E28*'假设'!$C$10</f>
        <v/>
      </c>
      <c r="F9" s="4">
        <f>-'收入'!F28*'假设'!$C$10</f>
        <v/>
      </c>
    </row>
    <row r="10">
      <c r="A10" s="9" t="inlineStr">
        <is>
          <t>经营现金流</t>
        </is>
      </c>
      <c r="B10" s="10">
        <f>SUM(B6:B9)</f>
        <v/>
      </c>
      <c r="C10" s="10">
        <f>SUM(C6:C9)</f>
        <v/>
      </c>
      <c r="D10" s="10">
        <f>SUM(D6:D9)</f>
        <v/>
      </c>
      <c r="E10" s="10">
        <f>SUM(E6:E9)</f>
        <v/>
      </c>
      <c r="F10" s="10">
        <f>SUM(F6:F9)</f>
        <v/>
      </c>
      <c r="G10" s="9" t="inlineStr">
        <is>
          <t>净利润 + 折旧摊销 - 营运资本占用 - 资本开支。</t>
        </is>
      </c>
    </row>
    <row r="11">
      <c r="A11" s="9" t="inlineStr">
        <is>
          <t>期末现金</t>
        </is>
      </c>
      <c r="B11" s="10">
        <f>B4+B5+B10</f>
        <v/>
      </c>
      <c r="C11" s="10">
        <f>C4+C5+C10</f>
        <v/>
      </c>
      <c r="D11" s="10">
        <f>D4+D5+D10</f>
        <v/>
      </c>
      <c r="E11" s="10">
        <f>E4+E5+E10</f>
        <v/>
      </c>
      <c r="F11" s="10">
        <f>F4+F5+F10</f>
        <v/>
      </c>
      <c r="G11" s="15" t="n"/>
    </row>
    <row r="12">
      <c r="A12" s="3" t="inlineStr">
        <is>
          <t>现金警戒</t>
        </is>
      </c>
      <c r="B12" s="8">
        <f>IF(B11&lt;0,"需融资","OK")</f>
        <v/>
      </c>
      <c r="C12" s="8">
        <f>IF(C11&lt;0,"需融资","OK")</f>
        <v/>
      </c>
      <c r="D12" s="8">
        <f>IF(D11&lt;0,"需融资","OK")</f>
        <v/>
      </c>
      <c r="E12" s="8">
        <f>IF(E11&lt;0,"需融资","OK")</f>
        <v/>
      </c>
      <c r="F12" s="8">
        <f>IF(F11&lt;0,"需融资","OK")</f>
        <v/>
      </c>
      <c r="G12" s="3" t="inlineStr">
        <is>
          <t>现金为负时提示需融资。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4" customWidth="1" min="8" max="8"/>
  </cols>
  <sheetData>
    <row r="1">
      <c r="A1" s="1" t="inlineStr">
        <is>
          <t>情景收入与现金压力测试</t>
        </is>
      </c>
    </row>
    <row r="2"/>
    <row r="3">
      <c r="A3" s="2" t="inlineStr">
        <is>
          <t>情景</t>
        </is>
      </c>
      <c r="B3" s="2" t="inlineStr">
        <is>
          <t>收入乘数</t>
        </is>
      </c>
      <c r="C3" s="2" t="inlineStr">
        <is>
          <t>2026</t>
        </is>
      </c>
      <c r="D3" s="2" t="inlineStr">
        <is>
          <t>2027</t>
        </is>
      </c>
      <c r="E3" s="2" t="inlineStr">
        <is>
          <t>2028</t>
        </is>
      </c>
      <c r="F3" s="2" t="inlineStr">
        <is>
          <t>2029</t>
        </is>
      </c>
      <c r="G3" s="2" t="inlineStr">
        <is>
          <t>2030</t>
        </is>
      </c>
      <c r="H3" s="2" t="inlineStr">
        <is>
          <t>2030期末现金</t>
        </is>
      </c>
    </row>
    <row r="4">
      <c r="A4" s="3" t="inlineStr">
        <is>
          <t>保守</t>
        </is>
      </c>
      <c r="B4" s="5" t="n">
        <v>0.72</v>
      </c>
      <c r="C4" s="4">
        <f>'收入'!B28*$B4</f>
        <v/>
      </c>
      <c r="D4" s="4">
        <f>'收入'!C28*$B4</f>
        <v/>
      </c>
      <c r="E4" s="4">
        <f>'收入'!D28*$B4</f>
        <v/>
      </c>
      <c r="F4" s="4">
        <f>'收入'!E28*$B4</f>
        <v/>
      </c>
      <c r="G4" s="4">
        <f>'收入'!F28*$B4</f>
        <v/>
      </c>
      <c r="H4" s="4">
        <f>'现金流'!F11*$B4</f>
        <v/>
      </c>
    </row>
    <row r="5">
      <c r="A5" s="3" t="inlineStr">
        <is>
          <t>基准</t>
        </is>
      </c>
      <c r="B5" s="5" t="n">
        <v>1</v>
      </c>
      <c r="C5" s="4">
        <f>'收入'!B28*$B5</f>
        <v/>
      </c>
      <c r="D5" s="4">
        <f>'收入'!C28*$B5</f>
        <v/>
      </c>
      <c r="E5" s="4">
        <f>'收入'!D28*$B5</f>
        <v/>
      </c>
      <c r="F5" s="4">
        <f>'收入'!E28*$B5</f>
        <v/>
      </c>
      <c r="G5" s="4">
        <f>'收入'!F28*$B5</f>
        <v/>
      </c>
      <c r="H5" s="4">
        <f>'现金流'!F11*$B5</f>
        <v/>
      </c>
    </row>
    <row r="6">
      <c r="A6" s="3" t="inlineStr">
        <is>
          <t>乐观</t>
        </is>
      </c>
      <c r="B6" s="5" t="n">
        <v>1.34</v>
      </c>
      <c r="C6" s="4">
        <f>'收入'!B28*$B6</f>
        <v/>
      </c>
      <c r="D6" s="4">
        <f>'收入'!C28*$B6</f>
        <v/>
      </c>
      <c r="E6" s="4">
        <f>'收入'!D28*$B6</f>
        <v/>
      </c>
      <c r="F6" s="4">
        <f>'收入'!E28*$B6</f>
        <v/>
      </c>
      <c r="G6" s="4">
        <f>'收入'!F28*$B6</f>
        <v/>
      </c>
      <c r="H6" s="4">
        <f>'现金流'!F11*$B6</f>
        <v/>
      </c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4" customWidth="1" min="8" max="8"/>
  </cols>
  <sheetData>
    <row r="1">
      <c r="A1" s="1" t="inlineStr">
        <is>
          <t>投资评价：NPV / IRR / 回收期</t>
        </is>
      </c>
    </row>
    <row r="2"/>
    <row r="3">
      <c r="A3" s="2" t="inlineStr">
        <is>
          <t>折现率</t>
        </is>
      </c>
      <c r="B3" s="2">
        <f>'假设'!$C$7</f>
        <v/>
      </c>
    </row>
    <row r="4">
      <c r="A4" s="3" t="inlineStr">
        <is>
          <t>评价口径</t>
        </is>
      </c>
      <c r="B4" s="3" t="inlineStr">
        <is>
          <t>首轮融资作为期初投入，经营现金流作为项目回收口径。</t>
        </is>
      </c>
    </row>
    <row r="5"/>
    <row r="6"/>
    <row r="7">
      <c r="A7" s="2" t="inlineStr">
        <is>
          <t>年份</t>
        </is>
      </c>
      <c r="B7" s="2" t="inlineStr">
        <is>
          <t>2025初始</t>
        </is>
      </c>
      <c r="C7" s="2" t="inlineStr">
        <is>
          <t>2026</t>
        </is>
      </c>
      <c r="D7" s="2" t="inlineStr">
        <is>
          <t>2027</t>
        </is>
      </c>
      <c r="E7" s="2" t="inlineStr">
        <is>
          <t>2028</t>
        </is>
      </c>
      <c r="F7" s="2" t="inlineStr">
        <is>
          <t>2029</t>
        </is>
      </c>
      <c r="G7" s="2" t="inlineStr">
        <is>
          <t>2030</t>
        </is>
      </c>
    </row>
    <row r="8">
      <c r="A8" s="9" t="inlineStr">
        <is>
          <t>项目现金流</t>
        </is>
      </c>
      <c r="B8" s="13">
        <f>-'假设'!$C$14</f>
        <v/>
      </c>
      <c r="C8" s="13">
        <f>'现金流'!B10</f>
        <v/>
      </c>
      <c r="D8" s="13">
        <f>'现金流'!C10</f>
        <v/>
      </c>
      <c r="E8" s="13">
        <f>'现金流'!D10</f>
        <v/>
      </c>
      <c r="F8" s="13">
        <f>'现金流'!E10</f>
        <v/>
      </c>
      <c r="G8" s="13">
        <f>'现金流'!F10</f>
        <v/>
      </c>
      <c r="H8" s="15" t="n"/>
    </row>
    <row r="9">
      <c r="A9" s="9" t="inlineStr">
        <is>
          <t>累计现金流</t>
        </is>
      </c>
      <c r="B9" s="10">
        <f>B8</f>
        <v/>
      </c>
      <c r="C9" s="10">
        <f>B9+C8</f>
        <v/>
      </c>
      <c r="D9" s="10">
        <f>C9+D8</f>
        <v/>
      </c>
      <c r="E9" s="10">
        <f>D9+E8</f>
        <v/>
      </c>
      <c r="F9" s="10">
        <f>E9+F8</f>
        <v/>
      </c>
      <c r="G9" s="10">
        <f>F9+G8</f>
        <v/>
      </c>
      <c r="H9" s="15" t="n"/>
    </row>
    <row r="10"/>
    <row r="11">
      <c r="A11" s="3" t="inlineStr">
        <is>
          <t>NPV</t>
        </is>
      </c>
      <c r="B11" s="8">
        <f>NPV($B$3,C8:G8)+B8</f>
        <v/>
      </c>
    </row>
    <row r="12">
      <c r="A12" s="3" t="inlineStr">
        <is>
          <t>IRR</t>
        </is>
      </c>
      <c r="B12" s="12">
        <f>IFERROR(IRR(B8:G8),"需继续验证")</f>
        <v/>
      </c>
    </row>
    <row r="13">
      <c r="A13" s="3" t="inlineStr">
        <is>
          <t>静态回收期</t>
        </is>
      </c>
      <c r="B13" s="8">
        <f>IF(B9&gt;=0,B7,IF(C9&gt;=0,B7+ABS(B9)/C8,IF(D9&gt;=0,C7+ABS(C9)/D8,IF(E9&gt;=0,D7+ABS(D9)/E8,IF(F9&gt;=0,E7+ABS(E9)/F8,IF(G9&gt;=0,F7+ABS(F9)/G8,"2030后"))))))</f>
        <v/>
      </c>
    </row>
    <row r="14">
      <c r="A14" s="3" t="inlineStr">
        <is>
          <t>2030期末现金</t>
        </is>
      </c>
      <c r="B14" s="4">
        <f>'现金流'!F11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4" customWidth="1" min="7" max="7"/>
  </cols>
  <sheetData>
    <row r="1">
      <c r="A1" s="1" t="inlineStr">
        <is>
          <t>敏感性：收入乘数 x 折现率</t>
        </is>
      </c>
    </row>
    <row r="2"/>
    <row r="3">
      <c r="A3" s="2" t="inlineStr">
        <is>
          <t>收入乘数 / 折现率</t>
        </is>
      </c>
      <c r="B3" s="16" t="n">
        <v>0.1</v>
      </c>
      <c r="C3" s="16" t="n">
        <v>0.12</v>
      </c>
      <c r="D3" s="16" t="n">
        <v>0.14</v>
      </c>
      <c r="E3" s="16" t="n">
        <v>0.16</v>
      </c>
      <c r="F3" s="16" t="n">
        <v>0.18</v>
      </c>
      <c r="G3" s="2" t="inlineStr">
        <is>
          <t>说明</t>
        </is>
      </c>
    </row>
    <row r="4">
      <c r="A4" s="11" t="n">
        <v>0.8</v>
      </c>
      <c r="B4" s="4">
        <f>NPV(B$3,'现金流'!$B$10*$A4,'现金流'!$C$10*$A4,'现金流'!$D$10*$A4,'现金流'!$E$10*$A4,'现金流'!$F$10*$A4)+'投资评价'!$B$8</f>
        <v/>
      </c>
      <c r="C4" s="4">
        <f>NPV(C$3,'现金流'!$B$10*$A4,'现金流'!$C$10*$A4,'现金流'!$D$10*$A4,'现金流'!$E$10*$A4,'现金流'!$F$10*$A4)+'投资评价'!$B$8</f>
        <v/>
      </c>
      <c r="D4" s="4">
        <f>NPV(D$3,'现金流'!$B$10*$A4,'现金流'!$C$10*$A4,'现金流'!$D$10*$A4,'现金流'!$E$10*$A4,'现金流'!$F$10*$A4)+'投资评价'!$B$8</f>
        <v/>
      </c>
      <c r="E4" s="4">
        <f>NPV(E$3,'现金流'!$B$10*$A4,'现金流'!$C$10*$A4,'现金流'!$D$10*$A4,'现金流'!$E$10*$A4,'现金流'!$F$10*$A4)+'投资评价'!$B$8</f>
        <v/>
      </c>
      <c r="F4" s="4">
        <f>NPV(F$3,'现金流'!$B$10*$A4,'现金流'!$C$10*$A4,'现金流'!$D$10*$A4,'现金流'!$E$10*$A4,'现金流'!$F$10*$A4)+'投资评价'!$B$8</f>
        <v/>
      </c>
      <c r="G4" s="3" t="inlineStr">
        <is>
          <t>收入乘数调整经营现金流，折现率调整项目现值。</t>
        </is>
      </c>
    </row>
    <row r="5">
      <c r="A5" s="11" t="n">
        <v>0.9</v>
      </c>
      <c r="B5" s="4">
        <f>NPV(B$3,'现金流'!$B$10*$A5,'现金流'!$C$10*$A5,'现金流'!$D$10*$A5,'现金流'!$E$10*$A5,'现金流'!$F$10*$A5)+'投资评价'!$B$8</f>
        <v/>
      </c>
      <c r="C5" s="4">
        <f>NPV(C$3,'现金流'!$B$10*$A5,'现金流'!$C$10*$A5,'现金流'!$D$10*$A5,'现金流'!$E$10*$A5,'现金流'!$F$10*$A5)+'投资评价'!$B$8</f>
        <v/>
      </c>
      <c r="D5" s="4">
        <f>NPV(D$3,'现金流'!$B$10*$A5,'现金流'!$C$10*$A5,'现金流'!$D$10*$A5,'现金流'!$E$10*$A5,'现金流'!$F$10*$A5)+'投资评价'!$B$8</f>
        <v/>
      </c>
      <c r="E5" s="4">
        <f>NPV(E$3,'现金流'!$B$10*$A5,'现金流'!$C$10*$A5,'现金流'!$D$10*$A5,'现金流'!$E$10*$A5,'现金流'!$F$10*$A5)+'投资评价'!$B$8</f>
        <v/>
      </c>
      <c r="F5" s="4">
        <f>NPV(F$3,'现金流'!$B$10*$A5,'现金流'!$C$10*$A5,'现金流'!$D$10*$A5,'现金流'!$E$10*$A5,'现金流'!$F$10*$A5)+'投资评价'!$B$8</f>
        <v/>
      </c>
      <c r="G5" s="3" t="inlineStr">
        <is>
          <t>收入乘数调整经营现金流，折现率调整项目现值。</t>
        </is>
      </c>
    </row>
    <row r="6">
      <c r="A6" s="11" t="n">
        <v>1</v>
      </c>
      <c r="B6" s="4">
        <f>NPV(B$3,'现金流'!$B$10*$A6,'现金流'!$C$10*$A6,'现金流'!$D$10*$A6,'现金流'!$E$10*$A6,'现金流'!$F$10*$A6)+'投资评价'!$B$8</f>
        <v/>
      </c>
      <c r="C6" s="4">
        <f>NPV(C$3,'现金流'!$B$10*$A6,'现金流'!$C$10*$A6,'现金流'!$D$10*$A6,'现金流'!$E$10*$A6,'现金流'!$F$10*$A6)+'投资评价'!$B$8</f>
        <v/>
      </c>
      <c r="D6" s="4">
        <f>NPV(D$3,'现金流'!$B$10*$A6,'现金流'!$C$10*$A6,'现金流'!$D$10*$A6,'现金流'!$E$10*$A6,'现金流'!$F$10*$A6)+'投资评价'!$B$8</f>
        <v/>
      </c>
      <c r="E6" s="4">
        <f>NPV(E$3,'现金流'!$B$10*$A6,'现金流'!$C$10*$A6,'现金流'!$D$10*$A6,'现金流'!$E$10*$A6,'现金流'!$F$10*$A6)+'投资评价'!$B$8</f>
        <v/>
      </c>
      <c r="F6" s="4">
        <f>NPV(F$3,'现金流'!$B$10*$A6,'现金流'!$C$10*$A6,'现金流'!$D$10*$A6,'现金流'!$E$10*$A6,'现金流'!$F$10*$A6)+'投资评价'!$B$8</f>
        <v/>
      </c>
      <c r="G6" s="3" t="inlineStr">
        <is>
          <t>收入乘数调整经营现金流，折现率调整项目现值。</t>
        </is>
      </c>
    </row>
    <row r="7">
      <c r="A7" s="11" t="n">
        <v>1.1</v>
      </c>
      <c r="B7" s="4">
        <f>NPV(B$3,'现金流'!$B$10*$A7,'现金流'!$C$10*$A7,'现金流'!$D$10*$A7,'现金流'!$E$10*$A7,'现金流'!$F$10*$A7)+'投资评价'!$B$8</f>
        <v/>
      </c>
      <c r="C7" s="4">
        <f>NPV(C$3,'现金流'!$B$10*$A7,'现金流'!$C$10*$A7,'现金流'!$D$10*$A7,'现金流'!$E$10*$A7,'现金流'!$F$10*$A7)+'投资评价'!$B$8</f>
        <v/>
      </c>
      <c r="D7" s="4">
        <f>NPV(D$3,'现金流'!$B$10*$A7,'现金流'!$C$10*$A7,'现金流'!$D$10*$A7,'现金流'!$E$10*$A7,'现金流'!$F$10*$A7)+'投资评价'!$B$8</f>
        <v/>
      </c>
      <c r="E7" s="4">
        <f>NPV(E$3,'现金流'!$B$10*$A7,'现金流'!$C$10*$A7,'现金流'!$D$10*$A7,'现金流'!$E$10*$A7,'现金流'!$F$10*$A7)+'投资评价'!$B$8</f>
        <v/>
      </c>
      <c r="F7" s="4">
        <f>NPV(F$3,'现金流'!$B$10*$A7,'现金流'!$C$10*$A7,'现金流'!$D$10*$A7,'现金流'!$E$10*$A7,'现金流'!$F$10*$A7)+'投资评价'!$B$8</f>
        <v/>
      </c>
      <c r="G7" s="3" t="inlineStr">
        <is>
          <t>收入乘数调整经营现金流，折现率调整项目现值。</t>
        </is>
      </c>
    </row>
    <row r="8">
      <c r="A8" s="11" t="n">
        <v>1.2</v>
      </c>
      <c r="B8" s="4">
        <f>NPV(B$3,'现金流'!$B$10*$A8,'现金流'!$C$10*$A8,'现金流'!$D$10*$A8,'现金流'!$E$10*$A8,'现金流'!$F$10*$A8)+'投资评价'!$B$8</f>
        <v/>
      </c>
      <c r="C8" s="4">
        <f>NPV(C$3,'现金流'!$B$10*$A8,'现金流'!$C$10*$A8,'现金流'!$D$10*$A8,'现金流'!$E$10*$A8,'现金流'!$F$10*$A8)+'投资评价'!$B$8</f>
        <v/>
      </c>
      <c r="D8" s="4">
        <f>NPV(D$3,'现金流'!$B$10*$A8,'现金流'!$C$10*$A8,'现金流'!$D$10*$A8,'现金流'!$E$10*$A8,'现金流'!$F$10*$A8)+'投资评价'!$B$8</f>
        <v/>
      </c>
      <c r="E8" s="4">
        <f>NPV(E$3,'现金流'!$B$10*$A8,'现金流'!$C$10*$A8,'现金流'!$D$10*$A8,'现金流'!$E$10*$A8,'现金流'!$F$10*$A8)+'投资评价'!$B$8</f>
        <v/>
      </c>
      <c r="F8" s="4">
        <f>NPV(F$3,'现金流'!$B$10*$A8,'现金流'!$C$10*$A8,'现金流'!$D$10*$A8,'现金流'!$E$10*$A8,'现金流'!$F$10*$A8)+'投资评价'!$B$8</f>
        <v/>
      </c>
      <c r="G8" s="3" t="inlineStr">
        <is>
          <t>收入乘数调整经营现金流，折现率调整项目现值。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44" customWidth="1" min="6" max="6"/>
  </cols>
  <sheetData>
    <row r="1">
      <c r="A1" s="1" t="inlineStr">
        <is>
          <t>模型校验</t>
        </is>
      </c>
    </row>
    <row r="2"/>
    <row r="3">
      <c r="A3" s="2" t="inlineStr">
        <is>
          <t>检查项</t>
        </is>
      </c>
      <c r="B3" s="2" t="inlineStr">
        <is>
          <t>实际值</t>
        </is>
      </c>
      <c r="C3" s="2" t="inlineStr">
        <is>
          <t>期望值</t>
        </is>
      </c>
      <c r="D3" s="2" t="inlineStr">
        <is>
          <t>差异</t>
        </is>
      </c>
      <c r="E3" s="2" t="inlineStr">
        <is>
          <t>状态</t>
        </is>
      </c>
      <c r="F3" s="2" t="inlineStr">
        <is>
          <t>修复提示</t>
        </is>
      </c>
    </row>
    <row r="4">
      <c r="A4" s="3" t="inlineStr">
        <is>
          <t>2028收入合计</t>
        </is>
      </c>
      <c r="B4" s="4">
        <f>'收入'!D28</f>
        <v/>
      </c>
      <c r="C4" s="8">
        <f>SUM(D6,D9,D12,D15,D18,D21,D24,D27)</f>
        <v/>
      </c>
      <c r="D4" s="8">
        <f>B4-C4</f>
        <v/>
      </c>
      <c r="E4" s="17">
        <f>IF(ABS(D4)&lt;0.01,"OK","检查")</f>
        <v/>
      </c>
      <c r="F4" s="3" t="inlineStr">
        <is>
          <t>检查收入组件是否遗漏。</t>
        </is>
      </c>
    </row>
    <row r="5">
      <c r="A5" s="3" t="inlineStr">
        <is>
          <t>2028毛利</t>
        </is>
      </c>
      <c r="B5" s="4">
        <f>'成本费用'!D7</f>
        <v/>
      </c>
      <c r="C5" s="4">
        <f>'成本费用'!D4-'成本费用'!D6</f>
        <v/>
      </c>
      <c r="D5" s="8">
        <f>B5-C5</f>
        <v/>
      </c>
      <c r="E5" s="17">
        <f>IF(ABS(D5)&lt;0.01,"OK","检查")</f>
        <v/>
      </c>
      <c r="F5" s="3" t="inlineStr">
        <is>
          <t>检查成本费用表公式。</t>
        </is>
      </c>
    </row>
    <row r="6">
      <c r="A6" s="3" t="inlineStr">
        <is>
          <t>2028期末现金</t>
        </is>
      </c>
      <c r="B6" s="4">
        <f>'现金流'!D11</f>
        <v/>
      </c>
      <c r="C6" s="4">
        <f>'现金流'!D4+'现金流'!D5+'现金流'!D10</f>
        <v/>
      </c>
      <c r="D6" s="8">
        <f>B6-C6</f>
        <v/>
      </c>
      <c r="E6" s="17">
        <f>IF(ABS(D6)&lt;0.01,"OK","检查")</f>
        <v/>
      </c>
      <c r="F6" s="3" t="inlineStr">
        <is>
          <t>检查现金流勾稽。</t>
        </is>
      </c>
    </row>
    <row r="7">
      <c r="A7" s="3" t="inlineStr">
        <is>
          <t>2030基准情景收入</t>
        </is>
      </c>
      <c r="B7" s="4">
        <f>情景!F5</f>
        <v/>
      </c>
      <c r="C7" s="4">
        <f>'收入'!F28</f>
        <v/>
      </c>
      <c r="D7" s="8">
        <f>B7-C7</f>
        <v/>
      </c>
      <c r="E7" s="17">
        <f>IF(ABS(D7)&lt;0.01,"OK","检查")</f>
        <v/>
      </c>
      <c r="F7" s="3" t="inlineStr">
        <is>
          <t>检查情景表基准乘数。</t>
        </is>
      </c>
    </row>
    <row r="8">
      <c r="A8" s="3" t="inlineStr">
        <is>
          <t>资料来源数量</t>
        </is>
      </c>
      <c r="B8" s="4">
        <f>COUNTA('资料来源'!A:A)-1</f>
        <v/>
      </c>
      <c r="C8" s="18" t="n">
        <v>32</v>
      </c>
      <c r="D8" s="8">
        <f>B8-C8</f>
        <v/>
      </c>
      <c r="E8" s="17">
        <f>IF(ABS(D8)&lt;0.01,"OK","检查")</f>
        <v/>
      </c>
      <c r="F8" s="3" t="inlineStr">
        <is>
          <t>检查来源索引是否为空。</t>
        </is>
      </c>
    </row>
    <row r="9"/>
    <row r="10">
      <c r="A10" s="3" t="inlineStr">
        <is>
          <t>模型状态</t>
        </is>
      </c>
      <c r="B10" s="17">
        <f>IF(COUNTIF(E4:E8,"检查")=0,"OK","存在需检查项")</f>
        <v/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44" customWidth="1" min="5" max="5"/>
    <col width="48" customWidth="1" min="6" max="6"/>
  </cols>
  <sheetData>
    <row r="1">
      <c r="A1" s="2" t="inlineStr">
        <is>
          <t>资料名称</t>
        </is>
      </c>
      <c r="B1" s="2" t="inlineStr">
        <is>
          <t>发布主体</t>
        </is>
      </c>
      <c r="C1" s="2" t="inlineStr">
        <is>
          <t>时间</t>
        </is>
      </c>
      <c r="D1" s="2" t="inlineStr">
        <is>
          <t>链接</t>
        </is>
      </c>
      <c r="E1" s="2" t="inlineStr">
        <is>
          <t>用途</t>
        </is>
      </c>
      <c r="F1" s="2" t="inlineStr">
        <is>
          <t>资料类型</t>
        </is>
      </c>
    </row>
    <row r="2">
      <c r="A2" s="3" t="inlineStr">
        <is>
          <t>国务院关于《2024年政府工作报告》的公开文本</t>
        </is>
      </c>
      <c r="B2" s="3" t="inlineStr">
        <is>
          <t>中国政府网</t>
        </is>
      </c>
      <c r="C2" s="3" t="inlineStr">
        <is>
          <t>2024-03</t>
        </is>
      </c>
      <c r="D2" s="3" t="inlineStr">
        <is>
          <t>https://www.gov.cn/yaowen/liebiao/202403/content_6939153.htm</t>
        </is>
      </c>
      <c r="E2" s="3" t="inlineStr">
        <is>
          <t>确认低空经济被列为新增长引擎相关表述。</t>
        </is>
      </c>
      <c r="F2" s="3" t="inlineStr">
        <is>
          <t>official_policy</t>
        </is>
      </c>
    </row>
    <row r="3">
      <c r="A3" s="2" t="inlineStr">
        <is>
          <t>无人驾驶航空器飞行管理暂行条例</t>
        </is>
      </c>
      <c r="B3" s="2" t="inlineStr">
        <is>
          <t>国务院、中央军委；中国民用航空局公开</t>
        </is>
      </c>
      <c r="C3" s="2" t="inlineStr">
        <is>
          <t>2023-06发布，2024-01施行</t>
        </is>
      </c>
      <c r="D3" s="2" t="inlineStr">
        <is>
          <t>https://www.caac.gov.cn/XXGK/XXGK/FLFG/202401/t20240115_222642.html</t>
        </is>
      </c>
      <c r="E3" s="2" t="inlineStr">
        <is>
          <t>支撑无人驾驶航空器飞行活动、身份、空域、记录和安全管理边界。</t>
        </is>
      </c>
      <c r="F3" s="2" t="inlineStr">
        <is>
          <t>official_regulation</t>
        </is>
      </c>
    </row>
    <row r="4">
      <c r="A4" s="3" t="inlineStr">
        <is>
          <t>通用航空装备创新应用实施方案（2024-2030年）</t>
        </is>
      </c>
      <c r="B4" s="3" t="inlineStr">
        <is>
          <t>工业和信息化部等部门</t>
        </is>
      </c>
      <c r="C4" s="3" t="inlineStr">
        <is>
          <t>2024</t>
        </is>
      </c>
      <c r="D4" s="3" t="inlineStr">
        <is>
          <t>https://wap.miit.gov.cn/zwgk/zcwj/wjfb/tz/art/2024/art_4ce8d09c15ee4fb1aefc3d5dfbbb6584.html</t>
        </is>
      </c>
      <c r="E4" s="3" t="inlineStr">
        <is>
          <t>支撑低空装备、应用示范、公共服务和运行保障场景。</t>
        </is>
      </c>
      <c r="F4" s="3" t="inlineStr">
        <is>
          <t>official_policy</t>
        </is>
      </c>
    </row>
    <row r="5">
      <c r="A5" s="3" t="inlineStr">
        <is>
          <t>低空经济及其核心产业统计分类（试行）</t>
        </is>
      </c>
      <c r="B5" s="3" t="inlineStr">
        <is>
          <t>国家发展改革委</t>
        </is>
      </c>
      <c r="C5" s="3" t="inlineStr">
        <is>
          <t>2025-12</t>
        </is>
      </c>
      <c r="D5" s="3" t="inlineStr">
        <is>
          <t>https://www.ndrc.gov.cn/xxgk/zcfb/tz/202512/t20251226_1402669.html</t>
        </is>
      </c>
      <c r="E5" s="3" t="inlineStr">
        <is>
          <t>用于界定低空经济产业边界和统计口径。</t>
        </is>
      </c>
      <c r="F5" s="3" t="inlineStr">
        <is>
          <t>official_policy</t>
        </is>
      </c>
    </row>
    <row r="6">
      <c r="A6" s="3" t="inlineStr">
        <is>
          <t>低空经济政策法规全量数据.csv</t>
        </is>
      </c>
      <c r="B6" s="3" t="inlineStr">
        <is>
          <t>本地整理数据集或公开数据源</t>
        </is>
      </c>
      <c r="C6" s="3" t="inlineStr">
        <is>
          <t>按文件记录年份</t>
        </is>
      </c>
      <c r="D6" s="3" t="inlineStr">
        <is>
          <t>数据以及图\_整理\数据\低空经济政策法规全量数据.csv</t>
        </is>
      </c>
      <c r="E6" s="3" t="inlineStr">
        <is>
          <t>按年份、地区和政策类型聚合，用于政策窗口与区域机会分析。</t>
        </is>
      </c>
      <c r="F6" s="3" t="inlineStr">
        <is>
          <t>local_dataset</t>
        </is>
      </c>
    </row>
    <row r="7">
      <c r="A7" s="3" t="inlineStr">
        <is>
          <t>低空经济招投标项目全量数据.csv</t>
        </is>
      </c>
      <c r="B7" s="3" t="inlineStr">
        <is>
          <t>本地整理数据集或公开数据源</t>
        </is>
      </c>
      <c r="C7" s="3" t="inlineStr">
        <is>
          <t>按文件记录年份</t>
        </is>
      </c>
      <c r="D7" s="3" t="inlineStr">
        <is>
          <t>数据以及图\_整理\数据\低空经济招投标项目全量数据.csv</t>
        </is>
      </c>
      <c r="E7" s="3" t="inlineStr">
        <is>
          <t>按预算、项目类型和省份聚合，用于市场温度和采购场景判断。</t>
        </is>
      </c>
      <c r="F7" s="3" t="inlineStr">
        <is>
          <t>local_dataset</t>
        </is>
      </c>
    </row>
    <row r="8">
      <c r="A8" s="3" t="inlineStr">
        <is>
          <t>低空经济专利全量数据.csv</t>
        </is>
      </c>
      <c r="B8" s="3" t="inlineStr">
        <is>
          <t>本地整理数据集或公开数据源</t>
        </is>
      </c>
      <c r="C8" s="3" t="inlineStr">
        <is>
          <t>按文件记录年份</t>
        </is>
      </c>
      <c r="D8" s="3" t="inlineStr">
        <is>
          <t>数据以及图\_整理\数据\低空经济专利全量数据.csv</t>
        </is>
      </c>
      <c r="E8" s="3" t="inlineStr">
        <is>
          <t>按年份、IPC和申请人聚合，用于技术活跃度分析。</t>
        </is>
      </c>
      <c r="F8" s="3" t="inlineStr">
        <is>
          <t>local_dataset</t>
        </is>
      </c>
    </row>
    <row r="9">
      <c r="A9" s="3" t="inlineStr">
        <is>
          <t>低空经济相关企业全量数据.csv</t>
        </is>
      </c>
      <c r="B9" s="3" t="inlineStr">
        <is>
          <t>本地整理数据集或公开数据源</t>
        </is>
      </c>
      <c r="C9" s="3" t="inlineStr">
        <is>
          <t>按文件记录年份</t>
        </is>
      </c>
      <c r="D9" s="3" t="inlineStr">
        <is>
          <t>数据以及图\_整理\数据\低空经济相关企业全量数据.csv</t>
        </is>
      </c>
      <c r="E9" s="3" t="inlineStr">
        <is>
          <t>按省份、行业和注册年份聚合，用于产业生态分析。</t>
        </is>
      </c>
      <c r="F9" s="3" t="inlineStr">
        <is>
          <t>local_dataset</t>
        </is>
      </c>
    </row>
    <row r="10">
      <c r="A10" s="3" t="inlineStr">
        <is>
          <t>低空经济产业链上下游数据.csv</t>
        </is>
      </c>
      <c r="B10" s="3" t="inlineStr">
        <is>
          <t>本地整理数据集或公开数据源</t>
        </is>
      </c>
      <c r="C10" s="3" t="inlineStr">
        <is>
          <t>按文件记录年份</t>
        </is>
      </c>
      <c r="D10" s="3" t="inlineStr">
        <is>
          <t>数据以及图\_整理\数据\低空经济产业链上下游数据.csv</t>
        </is>
      </c>
      <c r="E10" s="3" t="inlineStr">
        <is>
          <t>按产业链环节和细分领域聚合，用于伙伴生态分析。</t>
        </is>
      </c>
      <c r="F10" s="3" t="inlineStr">
        <is>
          <t>local_dataset</t>
        </is>
      </c>
    </row>
    <row r="11">
      <c r="A11" s="3" t="inlineStr">
        <is>
          <t>各省低空经济指数数据（1990-2024）.csv</t>
        </is>
      </c>
      <c r="B11" s="3" t="inlineStr">
        <is>
          <t>本地整理数据集或公开数据源</t>
        </is>
      </c>
      <c r="C11" s="3" t="inlineStr">
        <is>
          <t>按文件记录年份</t>
        </is>
      </c>
      <c r="D11" s="3" t="inlineStr">
        <is>
          <t>数据以及图\_整理\数据\各省低空经济指数数据（1990-2024）.csv</t>
        </is>
      </c>
      <c r="E11" s="3" t="inlineStr">
        <is>
          <t>用于省域指数、区域分层和市场进入顺序分析。</t>
        </is>
      </c>
      <c r="F11" s="3" t="inlineStr">
        <is>
          <t>local_dataset</t>
        </is>
      </c>
    </row>
    <row r="12">
      <c r="A12" s="3" t="inlineStr">
        <is>
          <t>低空安全事件与监管案例数据.csv</t>
        </is>
      </c>
      <c r="B12" s="3" t="inlineStr">
        <is>
          <t>本地整理数据集或公开数据源</t>
        </is>
      </c>
      <c r="C12" s="3" t="inlineStr">
        <is>
          <t>按文件记录年份</t>
        </is>
      </c>
      <c r="D12" s="3" t="inlineStr">
        <is>
          <t>数据以及图\_整理\数据\低空安全事件与监管案例数据.csv</t>
        </is>
      </c>
      <c r="E12" s="3" t="inlineStr">
        <is>
          <t>用于安全事件类型、严重程度和监管处置分析。</t>
        </is>
      </c>
      <c r="F12" s="3" t="inlineStr">
        <is>
          <t>local_dataset</t>
        </is>
      </c>
    </row>
    <row r="13">
      <c r="A13" s="3" t="inlineStr">
        <is>
          <t>低空起降设施与空域数据.csv</t>
        </is>
      </c>
      <c r="B13" s="3" t="inlineStr">
        <is>
          <t>本地整理数据集或公开数据源</t>
        </is>
      </c>
      <c r="C13" s="3" t="inlineStr">
        <is>
          <t>按文件记录年份</t>
        </is>
      </c>
      <c r="D13" s="3" t="inlineStr">
        <is>
          <t>数据以及图\_整理\数据\低空起降设施与空域数据.csv</t>
        </is>
      </c>
      <c r="E13" s="3" t="inlineStr">
        <is>
          <t>用于起降设施类型、状态和容量分析。</t>
        </is>
      </c>
      <c r="F13" s="3" t="inlineStr">
        <is>
          <t>local_dataset</t>
        </is>
      </c>
    </row>
    <row r="14">
      <c r="A14" s="3" t="inlineStr">
        <is>
          <t>低空飞行活动与轨迹数据.csv</t>
        </is>
      </c>
      <c r="B14" s="3" t="inlineStr">
        <is>
          <t>本地整理数据集或公开数据源</t>
        </is>
      </c>
      <c r="C14" s="3" t="inlineStr">
        <is>
          <t>按文件记录年份</t>
        </is>
      </c>
      <c r="D14" s="3" t="inlineStr">
        <is>
          <t>数据以及图\_整理\数据\低空飞行活动与轨迹数据.csv</t>
        </is>
      </c>
      <c r="E14" s="3" t="inlineStr">
        <is>
          <t>用于飞行类型、距离、高度和运行场景分析。</t>
        </is>
      </c>
      <c r="F14" s="3" t="inlineStr">
        <is>
          <t>local_dataset</t>
        </is>
      </c>
    </row>
    <row r="15">
      <c r="A15" s="3" t="inlineStr">
        <is>
          <t>OurAirports Open Data</t>
        </is>
      </c>
      <c r="B15" s="3" t="inlineStr">
        <is>
          <t>本地整理数据集或公开数据源</t>
        </is>
      </c>
      <c r="C15" s="3" t="inlineStr">
        <is>
          <t>按文件记录年份</t>
        </is>
      </c>
      <c r="D15" s="3" t="inlineStr">
        <is>
          <t>OurAirports Open Data</t>
        </is>
      </c>
      <c r="E15" s="3" t="inlineStr">
        <is>
          <t>用于机场、跑道和导航台公开数据说明。</t>
        </is>
      </c>
      <c r="F15" s="3" t="inlineStr">
        <is>
          <t>local_dataset</t>
        </is>
      </c>
    </row>
    <row r="16">
      <c r="A16" s="3" t="inlineStr">
        <is>
          <t>OpenSky Network Flightlist</t>
        </is>
      </c>
      <c r="B16" s="3" t="inlineStr">
        <is>
          <t>本地整理数据集或公开数据源</t>
        </is>
      </c>
      <c r="C16" s="3" t="inlineStr">
        <is>
          <t>按文件记录年份</t>
        </is>
      </c>
      <c r="D16" s="3" t="inlineStr">
        <is>
          <t>OpenSky Network Flightlist</t>
        </is>
      </c>
      <c r="E16" s="3" t="inlineStr">
        <is>
          <t>用于飞行活动公开数据方法说明。</t>
        </is>
      </c>
      <c r="F16" s="3" t="inlineStr">
        <is>
          <t>local_dataset</t>
        </is>
      </c>
    </row>
    <row r="17">
      <c r="A17" s="3" t="inlineStr">
        <is>
          <t>CAAC_2023_BULLETIN 民航公开统计摘录</t>
        </is>
      </c>
      <c r="B17" s="3" t="inlineStr">
        <is>
          <t>中国民用航空局/交通运输部公开资料</t>
        </is>
      </c>
      <c r="C17" s="3" t="inlineStr">
        <is>
          <t>2023</t>
        </is>
      </c>
      <c r="D17" s="3" t="inlineStr">
        <is>
          <t>https://www.mot.gov.cn/shuju/fenxigongbao/hangyegongbao/202601/P020260127539879677064.pdf</t>
        </is>
      </c>
      <c r="E17" s="3" t="inlineStr">
        <is>
          <t>用于无人机注册、飞行小时、运营单位、机场和安全指标分析。</t>
        </is>
      </c>
      <c r="F17" s="3" t="inlineStr">
        <is>
          <t>official_statistic</t>
        </is>
      </c>
    </row>
    <row r="18">
      <c r="A18" s="3" t="inlineStr">
        <is>
          <t>CAAC_2024_BULLETIN 民航公开统计摘录</t>
        </is>
      </c>
      <c r="B18" s="3" t="inlineStr">
        <is>
          <t>中国民用航空局/交通运输部公开资料</t>
        </is>
      </c>
      <c r="C18" s="3" t="inlineStr">
        <is>
          <t>2024</t>
        </is>
      </c>
      <c r="D18" s="3" t="inlineStr">
        <is>
          <t>https://www.mot.gov.cn/shuju/fenxigongbao/hangyegongbao/202601/P020260104371505744786.pdf</t>
        </is>
      </c>
      <c r="E18" s="3" t="inlineStr">
        <is>
          <t>用于无人机注册、飞行小时、运营单位、机场和安全指标分析。</t>
        </is>
      </c>
      <c r="F18" s="3" t="inlineStr">
        <is>
          <t>official_statistic</t>
        </is>
      </c>
    </row>
    <row r="19">
      <c r="A19" s="3" t="inlineStr">
        <is>
          <t>CAAC_2025_BULLETIN 民航公开统计摘录</t>
        </is>
      </c>
      <c r="B19" s="3" t="inlineStr">
        <is>
          <t>中国民用航空局/交通运输部公开资料</t>
        </is>
      </c>
      <c r="C19" s="3" t="inlineStr">
        <is>
          <t>2025</t>
        </is>
      </c>
      <c r="D19" s="3" t="inlineStr">
        <is>
          <t>https://www.caac.gov.cn/XXGK/XXGK/TJSJ/202604/P020260417665629030648.pdf</t>
        </is>
      </c>
      <c r="E19" s="3" t="inlineStr">
        <is>
          <t>用于无人机注册、飞行小时、运营单位、机场和安全指标分析。</t>
        </is>
      </c>
      <c r="F19" s="3" t="inlineStr">
        <is>
          <t>official_statistic</t>
        </is>
      </c>
    </row>
    <row r="20">
      <c r="A20" s="3" t="inlineStr">
        <is>
          <t>安徽省加快培育发展低空经济实施方案（2024—2027年）</t>
        </is>
      </c>
      <c r="B20" s="3" t="inlineStr">
        <is>
          <t>地方政府/主管部门公开资料</t>
        </is>
      </c>
      <c r="C20" s="3" t="inlineStr">
        <is>
          <t>2027</t>
        </is>
      </c>
      <c r="D20" s="3" t="inlineStr">
        <is>
          <t>https://www.tljq.gov.cn/openness/upload_tl/download?id=89264&amp;siteId=4</t>
        </is>
      </c>
      <c r="E20" s="3" t="inlineStr">
        <is>
          <t>用于地方低空经济目标、平台建设、航线和起降网络规划分析。</t>
        </is>
      </c>
      <c r="F20" s="3" t="inlineStr">
        <is>
          <t>local_policy_or_case</t>
        </is>
      </c>
    </row>
    <row r="21">
      <c r="A21" s="3" t="inlineStr">
        <is>
          <t>低空基础设施发展现状引用</t>
        </is>
      </c>
      <c r="B21" s="3" t="inlineStr">
        <is>
          <t>地方政府/主管部门公开资料</t>
        </is>
      </c>
      <c r="C21" s="3" t="inlineStr">
        <is>
          <t>2027</t>
        </is>
      </c>
      <c r="D21" s="3" t="inlineStr">
        <is>
          <t>https://www.caict.ac.cn/kxyj/qwfb/bps/202603/P020260331466642289162.pdf</t>
        </is>
      </c>
      <c r="E21" s="3" t="inlineStr">
        <is>
          <t>用于地方低空经济目标、平台建设、航线和起降网络规划分析。</t>
        </is>
      </c>
      <c r="F21" s="3" t="inlineStr">
        <is>
          <t>local_policy_or_case</t>
        </is>
      </c>
    </row>
    <row r="22">
      <c r="A22" s="3" t="inlineStr">
        <is>
          <t>重庆市推动低空空域管理改革促进低空经济高质量发展行动方案</t>
        </is>
      </c>
      <c r="B22" s="3" t="inlineStr">
        <is>
          <t>地方政府/主管部门公开资料</t>
        </is>
      </c>
      <c r="C22" s="3" t="inlineStr">
        <is>
          <t>2025</t>
        </is>
      </c>
      <c r="D22" s="3" t="inlineStr">
        <is>
          <t>https://www.cq.gov.cn/zwgk/zfxxgkml/szfwj/qtgw/202409/t20240926_13663171.html</t>
        </is>
      </c>
      <c r="E22" s="3" t="inlineStr">
        <is>
          <t>用于地方低空经济目标、平台建设、航线和起降网络规划分析。</t>
        </is>
      </c>
      <c r="F22" s="3" t="inlineStr">
        <is>
          <t>local_policy_or_case</t>
        </is>
      </c>
    </row>
    <row r="23">
      <c r="A23" s="3" t="inlineStr">
        <is>
          <t>房山区低空经济产业发展行动方案（2024—2027年）</t>
        </is>
      </c>
      <c r="B23" s="3" t="inlineStr">
        <is>
          <t>地方政府/主管部门公开资料</t>
        </is>
      </c>
      <c r="C23" s="3" t="inlineStr">
        <is>
          <t>2027</t>
        </is>
      </c>
      <c r="D23" s="3" t="inlineStr">
        <is>
          <t>https://www.bjfsh.gov.cn/zwgk/zcwj/202410/t20241028_40082292.shtml</t>
        </is>
      </c>
      <c r="E23" s="3" t="inlineStr">
        <is>
          <t>用于地方低空经济目标、平台建设、航线和起降网络规划分析。</t>
        </is>
      </c>
      <c r="F23" s="3" t="inlineStr">
        <is>
          <t>local_policy_or_case</t>
        </is>
      </c>
    </row>
    <row r="24">
      <c r="A24" s="3" t="inlineStr">
        <is>
          <t>广东省推动低空经济高质量发展行动方案（2024—2026年）</t>
        </is>
      </c>
      <c r="B24" s="3" t="inlineStr">
        <is>
          <t>地方政府/主管部门公开资料</t>
        </is>
      </c>
      <c r="C24" s="3" t="inlineStr">
        <is>
          <t>2026</t>
        </is>
      </c>
      <c r="D24" s="3" t="inlineStr">
        <is>
          <t>https://www.thnet.gov.cn/zjth/tzth/tzzc/sszc/content/post_9836185.html</t>
        </is>
      </c>
      <c r="E24" s="3" t="inlineStr">
        <is>
          <t>用于地方低空经济目标、平台建设、航线和起降网络规划分析。</t>
        </is>
      </c>
      <c r="F24" s="3" t="inlineStr">
        <is>
          <t>local_policy_or_case</t>
        </is>
      </c>
    </row>
    <row r="25">
      <c r="A25" s="3" t="inlineStr">
        <is>
          <t>广州市低空经济发展实施方案</t>
        </is>
      </c>
      <c r="B25" s="3" t="inlineStr">
        <is>
          <t>地方政府/主管部门公开资料</t>
        </is>
      </c>
      <c r="C25" s="3" t="inlineStr"/>
      <c r="D25" s="3" t="inlineStr">
        <is>
          <t>https://www.gz.gov.cn/zwgk/fggw/sfbgtwj/content/post_9743866.html</t>
        </is>
      </c>
      <c r="E25" s="3" t="inlineStr">
        <is>
          <t>用于地方低空经济目标、平台建设、航线和起降网络规划分析。</t>
        </is>
      </c>
      <c r="F25" s="3" t="inlineStr">
        <is>
          <t>local_policy_or_case</t>
        </is>
      </c>
    </row>
    <row r="26">
      <c r="A26" s="3" t="inlineStr">
        <is>
          <t>低空经济监管沙盒X</t>
        </is>
      </c>
      <c r="B26" s="3" t="inlineStr">
        <is>
          <t>地方政府/主管部门公开资料</t>
        </is>
      </c>
      <c r="C26" s="3" t="inlineStr"/>
      <c r="D26" s="3" t="inlineStr">
        <is>
          <t>https://www.tlb.gov.hk/tc/highlights/transport/low-altitude.html</t>
        </is>
      </c>
      <c r="E26" s="3" t="inlineStr">
        <is>
          <t>用于地方低空经济目标、平台建设、航线和起降网络规划分析。</t>
        </is>
      </c>
      <c r="F26" s="3" t="inlineStr">
        <is>
          <t>local_policy_or_case</t>
        </is>
      </c>
    </row>
    <row r="27">
      <c r="A27" s="3" t="inlineStr">
        <is>
          <t>南通市低空经济高质量发展行动方案</t>
        </is>
      </c>
      <c r="B27" s="3" t="inlineStr">
        <is>
          <t>地方政府/主管部门公开资料</t>
        </is>
      </c>
      <c r="C27" s="3" t="inlineStr">
        <is>
          <t>2027</t>
        </is>
      </c>
      <c r="D27" s="3" t="inlineStr">
        <is>
          <t>https://www.nantong.gov.cn/ntsrmzf/szfbwj/content/f6d67b3b-25c0-4b89-83f1-3794a28f3812.html</t>
        </is>
      </c>
      <c r="E27" s="3" t="inlineStr">
        <is>
          <t>用于地方低空经济目标、平台建设、航线和起降网络规划分析。</t>
        </is>
      </c>
      <c r="F27" s="3" t="inlineStr">
        <is>
          <t>local_policy_or_case</t>
        </is>
      </c>
    </row>
    <row r="28">
      <c r="A28" s="3" t="inlineStr">
        <is>
          <t>上海市低空经济产业高质量发展行动方案（草案）</t>
        </is>
      </c>
      <c r="B28" s="3" t="inlineStr">
        <is>
          <t>地方政府/主管部门公开资料</t>
        </is>
      </c>
      <c r="C28" s="3" t="inlineStr">
        <is>
          <t>2027</t>
        </is>
      </c>
      <c r="D28" s="3" t="inlineStr">
        <is>
          <t>https://www.sheitc.sh.gov.cn/qtzx/20241009/9336828aaeb3481bbf4733c8e607a527.html</t>
        </is>
      </c>
      <c r="E28" s="3" t="inlineStr">
        <is>
          <t>用于地方低空经济目标、平台建设、航线和起降网络规划分析。</t>
        </is>
      </c>
      <c r="F28" s="3" t="inlineStr">
        <is>
          <t>local_policy_or_case</t>
        </is>
      </c>
    </row>
    <row r="29">
      <c r="A29" s="3" t="inlineStr">
        <is>
          <t>上海“五个一”低空飞行安全监管体系公开报道</t>
        </is>
      </c>
      <c r="B29" s="3" t="inlineStr">
        <is>
          <t>地方政府/主管部门公开资料</t>
        </is>
      </c>
      <c r="C29" s="3" t="inlineStr">
        <is>
          <t>2026</t>
        </is>
      </c>
      <c r="D29" s="3" t="inlineStr">
        <is>
          <t>https://www.mot.gov.cn/xinwen/jiaotongyaowen/202601/t20260122_4198498.html</t>
        </is>
      </c>
      <c r="E29" s="3" t="inlineStr">
        <is>
          <t>用于地方低空经济目标、平台建设、航线和起降网络规划分析。</t>
        </is>
      </c>
      <c r="F29" s="3" t="inlineStr">
        <is>
          <t>local_policy_or_case</t>
        </is>
      </c>
    </row>
    <row r="30">
      <c r="A30" s="3" t="inlineStr">
        <is>
          <t>深圳市低空基础设施高质量建设方案（2024—2026年）</t>
        </is>
      </c>
      <c r="B30" s="3" t="inlineStr">
        <is>
          <t>地方政府/主管部门公开资料</t>
        </is>
      </c>
      <c r="C30" s="3" t="inlineStr">
        <is>
          <t>2026</t>
        </is>
      </c>
      <c r="D30" s="3" t="inlineStr">
        <is>
          <t>https://fgw.sz.gov.cn/gkmlpt/content/12/12305/post_12305044.html</t>
        </is>
      </c>
      <c r="E30" s="3" t="inlineStr">
        <is>
          <t>用于地方低空经济目标、平台建设、航线和起降网络规划分析。</t>
        </is>
      </c>
      <c r="F30" s="3" t="inlineStr">
        <is>
          <t>local_policy_or_case</t>
        </is>
      </c>
    </row>
    <row r="31">
      <c r="A31" s="3" t="inlineStr">
        <is>
          <t>深圳市低空基础设施高质量建设方案（2024—2026年）</t>
        </is>
      </c>
      <c r="B31" s="3" t="inlineStr">
        <is>
          <t>地方政府/主管部门公开资料</t>
        </is>
      </c>
      <c r="C31" s="3" t="inlineStr">
        <is>
          <t>2026</t>
        </is>
      </c>
      <c r="D31" s="3" t="inlineStr">
        <is>
          <t>https://fgw.sz.gov.cn/zwgk/qt/tzgg/content/post_12305044.html</t>
        </is>
      </c>
      <c r="E31" s="3" t="inlineStr">
        <is>
          <t>用于地方低空经济目标、平台建设、航线和起降网络规划分析。</t>
        </is>
      </c>
      <c r="F31" s="3" t="inlineStr">
        <is>
          <t>local_policy_or_case</t>
        </is>
      </c>
    </row>
    <row r="32">
      <c r="A32" s="3" t="inlineStr">
        <is>
          <t>苏州市低空经济高质量发展实施方案（2024～2026年）</t>
        </is>
      </c>
      <c r="B32" s="3" t="inlineStr">
        <is>
          <t>地方政府/主管部门公开资料</t>
        </is>
      </c>
      <c r="C32" s="3" t="inlineStr">
        <is>
          <t>2026</t>
        </is>
      </c>
      <c r="D32" s="3" t="inlineStr">
        <is>
          <t>https://www.suzhou.gov.cn/szsrmzf/zfbgswj/202402/1ea65ae34733413ba188c04f8690267a.shtml</t>
        </is>
      </c>
      <c r="E32" s="3" t="inlineStr">
        <is>
          <t>用于地方低空经济目标、平台建设、航线和起降网络规划分析。</t>
        </is>
      </c>
      <c r="F32" s="3" t="inlineStr">
        <is>
          <t>local_policy_or_case</t>
        </is>
      </c>
    </row>
    <row r="33">
      <c r="A33" s="3" t="inlineStr">
        <is>
          <t>苏州市低空经济高质量发展实施方案（2024—2026年）</t>
        </is>
      </c>
      <c r="B33" s="3" t="inlineStr">
        <is>
          <t>地方政府/主管部门公开资料</t>
        </is>
      </c>
      <c r="C33" s="3" t="inlineStr">
        <is>
          <t>2026</t>
        </is>
      </c>
      <c r="D33" s="3" t="inlineStr">
        <is>
          <t>https://www.suzhou.gov.cn/szsrmzf/zfbgswj/202402/1ea65ae34733413ba188c04f8690267a.shtml</t>
        </is>
      </c>
      <c r="E33" s="3" t="inlineStr">
        <is>
          <t>用于地方低空经济目标、平台建设、航线和起降网络规划分析。</t>
        </is>
      </c>
      <c r="F33" s="3" t="inlineStr">
        <is>
          <t>local_policy_or_case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2026-07-05T09:04:34Z</dcterms:created>
  <dcterms:modified xmlns:dcterms="http://purl.org/dc/terms/" xmlns:xsi="http://www.w3.org/2001/XMLSchema-instance" xsi:type="dcterms:W3CDTF">2026-07-05T09:04:34Z</dcterms:modified>
</cp:coreProperties>
</file>